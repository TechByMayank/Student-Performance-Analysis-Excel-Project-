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D:\"/>
    </mc:Choice>
  </mc:AlternateContent>
  <xr:revisionPtr revIDLastSave="0" documentId="13_ncr:1_{EB0C53F7-D2DD-4C9A-866C-1DD7EB5B5964}" xr6:coauthVersionLast="47" xr6:coauthVersionMax="47" xr10:uidLastSave="{00000000-0000-0000-0000-000000000000}"/>
  <bookViews>
    <workbookView xWindow="-108" yWindow="-108" windowWidth="23256" windowHeight="13896" firstSheet="2" activeTab="2" xr2:uid="{1EF84523-A40C-4CC4-89F4-E1B4E9982EB8}"/>
  </bookViews>
  <sheets>
    <sheet name="Table" sheetId="1" r:id="rId1"/>
    <sheet name="analysis" sheetId="2" r:id="rId2"/>
    <sheet name="Dashboard" sheetId="4" r:id="rId3"/>
  </sheets>
  <definedNames>
    <definedName name="_xlnm._FilterDatabase" localSheetId="0" hidden="1">Table!$A$1:$F$201</definedName>
    <definedName name="Slicer_Performance_Category">#N/A</definedName>
    <definedName name="Slicer_Std_Branch">#N/A</definedName>
    <definedName name="Slicer_Std_Course">#N/A</definedName>
    <definedName name="Slicer_Std_Name">#N/A</definedName>
  </definedNames>
  <calcPr calcId="191029"/>
  <pivotCaches>
    <pivotCache cacheId="8"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2" l="1"/>
  <c r="B4" i="2"/>
  <c r="B3" i="2"/>
  <c r="B2" i="2"/>
  <c r="G9"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G2" i="1"/>
  <c r="G3" i="1"/>
  <c r="G4" i="1"/>
  <c r="G5" i="1"/>
  <c r="G6" i="1"/>
  <c r="G7" i="1"/>
  <c r="G8"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alcChain>
</file>

<file path=xl/sharedStrings.xml><?xml version="1.0" encoding="utf-8"?>
<sst xmlns="http://schemas.openxmlformats.org/spreadsheetml/2006/main" count="647" uniqueCount="243">
  <si>
    <t>Std_RollNo</t>
  </si>
  <si>
    <t>Std_Name</t>
  </si>
  <si>
    <t>Std_Branch</t>
  </si>
  <si>
    <t>Std_Course</t>
  </si>
  <si>
    <t>Tanya Gautam</t>
  </si>
  <si>
    <t>MC</t>
  </si>
  <si>
    <t>B.Sc 1st year</t>
  </si>
  <si>
    <t>Udit Sagan</t>
  </si>
  <si>
    <t>Kratika Sharma</t>
  </si>
  <si>
    <t>PM</t>
  </si>
  <si>
    <t>Rakesh Kumar</t>
  </si>
  <si>
    <t>Ritika Katara</t>
  </si>
  <si>
    <t>Anjali Rajupt</t>
  </si>
  <si>
    <t>BZ</t>
  </si>
  <si>
    <t>Suryansh Varshney</t>
  </si>
  <si>
    <t>Sakshi Saxena</t>
  </si>
  <si>
    <t>ZC</t>
  </si>
  <si>
    <t>Yashshvi Dubey</t>
  </si>
  <si>
    <t>Vidushi Bhaskar</t>
  </si>
  <si>
    <t>BC</t>
  </si>
  <si>
    <t>Riya Tyagi</t>
  </si>
  <si>
    <t>Sneha</t>
  </si>
  <si>
    <t>Shivansh Kulshreshtha</t>
  </si>
  <si>
    <t>Nikhil Kumar</t>
  </si>
  <si>
    <t>AGRICULTURE</t>
  </si>
  <si>
    <t>Shyam Dev Sharma</t>
  </si>
  <si>
    <t>Shruti Agarwal</t>
  </si>
  <si>
    <t>Deepanshi Shivhare</t>
  </si>
  <si>
    <t>R. Mohan Krishna</t>
  </si>
  <si>
    <t>B.Sc 2nd Year</t>
  </si>
  <si>
    <t>Damini Chaudhary</t>
  </si>
  <si>
    <t>Shivam Kaushik</t>
  </si>
  <si>
    <t>Radhika Pathak</t>
  </si>
  <si>
    <t>Daya Kumar</t>
  </si>
  <si>
    <t>CS</t>
  </si>
  <si>
    <t>Aarti Notnani</t>
  </si>
  <si>
    <t>Uddeshya Teotia</t>
  </si>
  <si>
    <t>Charnl</t>
  </si>
  <si>
    <t>Ishita Chauhan</t>
  </si>
  <si>
    <t>Kanha Bindal</t>
  </si>
  <si>
    <t>Rhythm</t>
  </si>
  <si>
    <t>Ananya Lawania</t>
  </si>
  <si>
    <t>Bharat Singh</t>
  </si>
  <si>
    <t>APPLIED BOTANY</t>
  </si>
  <si>
    <t>Devendra Arya</t>
  </si>
  <si>
    <t>Kanika Jain</t>
  </si>
  <si>
    <t>MATHS</t>
  </si>
  <si>
    <t>B.Sc Honours</t>
  </si>
  <si>
    <t>Nayan Jain</t>
  </si>
  <si>
    <t>Manisha Kumari</t>
  </si>
  <si>
    <t>Naman Gupta</t>
  </si>
  <si>
    <t>Pranjal</t>
  </si>
  <si>
    <t>Siddartha</t>
  </si>
  <si>
    <t>Pranay Bhatnagar</t>
  </si>
  <si>
    <t>ZOOLOGY</t>
  </si>
  <si>
    <t>Karan Kumar</t>
  </si>
  <si>
    <t>Uzma Adil</t>
  </si>
  <si>
    <t>Sundus Shamsi</t>
  </si>
  <si>
    <t>Muskan</t>
  </si>
  <si>
    <t>CHEMISTRY</t>
  </si>
  <si>
    <t>Swati Agarwal</t>
  </si>
  <si>
    <t>Pratyash Singh</t>
  </si>
  <si>
    <t>Ashita Gupta</t>
  </si>
  <si>
    <t>PHYSICS</t>
  </si>
  <si>
    <t>Deeksha Singh Jadon</t>
  </si>
  <si>
    <t>M.Sc 1st Year</t>
  </si>
  <si>
    <t>Raj Pratap Singh</t>
  </si>
  <si>
    <t>Anjali Singh</t>
  </si>
  <si>
    <t>Vartika Sharma</t>
  </si>
  <si>
    <t>Ranjini Tyagi</t>
  </si>
  <si>
    <t>Simran Bamola</t>
  </si>
  <si>
    <t>Ruchi Verma</t>
  </si>
  <si>
    <t>R. Teja Vihari</t>
  </si>
  <si>
    <t>Usman Ali</t>
  </si>
  <si>
    <t>Nikita Jain</t>
  </si>
  <si>
    <t>Govind Kushwah</t>
  </si>
  <si>
    <t>Sakshi Agarwal</t>
  </si>
  <si>
    <t>Debaditya</t>
  </si>
  <si>
    <t>BOTANY</t>
  </si>
  <si>
    <t>Hunny Waswani</t>
  </si>
  <si>
    <t>Sahaj Gupta</t>
  </si>
  <si>
    <t>M.Sc 2st Year</t>
  </si>
  <si>
    <t>Abhilasha</t>
  </si>
  <si>
    <t>Jyotika Saxena</t>
  </si>
  <si>
    <t>Arti Gupta</t>
  </si>
  <si>
    <t>Pradeep Yadav</t>
  </si>
  <si>
    <t>Shubham Mishra</t>
  </si>
  <si>
    <t>Riya Sharma</t>
  </si>
  <si>
    <t>Neetu</t>
  </si>
  <si>
    <t>Rohit Sharma</t>
  </si>
  <si>
    <t>Ph.D.</t>
  </si>
  <si>
    <t>Sonia</t>
  </si>
  <si>
    <t>Mridul</t>
  </si>
  <si>
    <t>Zeeshan</t>
  </si>
  <si>
    <t>Apeksha</t>
  </si>
  <si>
    <t>Neha Loach</t>
  </si>
  <si>
    <t>Gurpreet Kaur</t>
  </si>
  <si>
    <t>Sonal Singh</t>
  </si>
  <si>
    <t>Aditi Khandelwal</t>
  </si>
  <si>
    <t>Yogita Singh Kardam</t>
  </si>
  <si>
    <t>Rani Kumari</t>
  </si>
  <si>
    <t>Kratika</t>
  </si>
  <si>
    <t>Arti</t>
  </si>
  <si>
    <t>ANSHIKA BAGHEL</t>
  </si>
  <si>
    <t>B.Tech 1st year</t>
  </si>
  <si>
    <t>AKASH KUSHWAH</t>
  </si>
  <si>
    <t>SHIVAM INDOLIYA</t>
  </si>
  <si>
    <t>HARSHIT BAGHEL</t>
  </si>
  <si>
    <t>ALOK KUMAR</t>
  </si>
  <si>
    <t>VIKRAM SINGH</t>
  </si>
  <si>
    <t>SUHANI</t>
  </si>
  <si>
    <t>ASHISH KUMAR</t>
  </si>
  <si>
    <t>GUNJAN SHARMA</t>
  </si>
  <si>
    <t>NISHU RANA</t>
  </si>
  <si>
    <t>ANJALI</t>
  </si>
  <si>
    <t>DISHA JAIN</t>
  </si>
  <si>
    <t>SUMIT</t>
  </si>
  <si>
    <t>PRIYA</t>
  </si>
  <si>
    <t>AJEET</t>
  </si>
  <si>
    <t>ABHISHEK KUMAR</t>
  </si>
  <si>
    <t>VISHWENDRI CHAUDHARY</t>
  </si>
  <si>
    <t>GOVIND PACHAURI</t>
  </si>
  <si>
    <t>KAMAL SINGH</t>
  </si>
  <si>
    <t>B.Tech 3rd year</t>
  </si>
  <si>
    <t>BANDANA JHA</t>
  </si>
  <si>
    <t>JATIN KUSHWAH</t>
  </si>
  <si>
    <t>AKSHAY</t>
  </si>
  <si>
    <t>ARYAN</t>
  </si>
  <si>
    <t>VIVEK GOYAL</t>
  </si>
  <si>
    <t>ILA AHMAD</t>
  </si>
  <si>
    <t>AMIT YADAV</t>
  </si>
  <si>
    <t>SHEKHAR KUMAR</t>
  </si>
  <si>
    <t>VISHAL KUMAR</t>
  </si>
  <si>
    <t>RAM</t>
  </si>
  <si>
    <t>RAGHAV</t>
  </si>
  <si>
    <t>MANISH</t>
  </si>
  <si>
    <t>ANAMIKA YADAV</t>
  </si>
  <si>
    <t>RINKI</t>
  </si>
  <si>
    <t>MANISH KUMAR</t>
  </si>
  <si>
    <t>B.Tech 4th year</t>
  </si>
  <si>
    <t>HIMESH RAJAURIYA</t>
  </si>
  <si>
    <t>KALPANA</t>
  </si>
  <si>
    <t>ANKIT KUMAR</t>
  </si>
  <si>
    <t>KHUSHI YADAV</t>
  </si>
  <si>
    <t>SURATI YADAV</t>
  </si>
  <si>
    <t>UJJAWAL YADAV</t>
  </si>
  <si>
    <t>MUSKAN VERMA</t>
  </si>
  <si>
    <t>NISHTHA SHARMA</t>
  </si>
  <si>
    <t>ANKUR YADAV</t>
  </si>
  <si>
    <t>ANJALI YADAV</t>
  </si>
  <si>
    <t>POOJA</t>
  </si>
  <si>
    <t>PUSHPENDRA KUSHWAH</t>
  </si>
  <si>
    <t>ANISH KUMAR</t>
  </si>
  <si>
    <t>BASHISHTH KUMAR</t>
  </si>
  <si>
    <t>RISHABH SHAKYA</t>
  </si>
  <si>
    <t>AKASH</t>
  </si>
  <si>
    <t>ARPITA</t>
  </si>
  <si>
    <t>ANSHUL PARASHAR</t>
  </si>
  <si>
    <t>SHIVANI YADAV</t>
  </si>
  <si>
    <t>SUMIT KUMAR</t>
  </si>
  <si>
    <t>SWATI SHAKYA</t>
  </si>
  <si>
    <t>PRIYA SINGH</t>
  </si>
  <si>
    <t>VAISHNAVI PANDEY</t>
  </si>
  <si>
    <t>REETESH KUMAR</t>
  </si>
  <si>
    <t>AMARDEEP</t>
  </si>
  <si>
    <t>SATYA PAL SINGH</t>
  </si>
  <si>
    <t>ANJALI TIWARI</t>
  </si>
  <si>
    <t>VIKAS YADAV</t>
  </si>
  <si>
    <t>AKANKSHA YADAV</t>
  </si>
  <si>
    <t>SHIVANG PAL</t>
  </si>
  <si>
    <t>VIPUL KUMAR</t>
  </si>
  <si>
    <t>NIHARIKA KUMARI</t>
  </si>
  <si>
    <t>ANKUR RATHORE</t>
  </si>
  <si>
    <t>ROHIT KUMAR PAL</t>
  </si>
  <si>
    <t>NEMA RAJPOOT</t>
  </si>
  <si>
    <t>SHALINI</t>
  </si>
  <si>
    <t>PREETI</t>
  </si>
  <si>
    <t>RAHUL CHAUDHARY</t>
  </si>
  <si>
    <t>DIPESH KUMAR</t>
  </si>
  <si>
    <t>MEETA</t>
  </si>
  <si>
    <t>YASHPAL RAJPUT</t>
  </si>
  <si>
    <t>APOORVA JAIN</t>
  </si>
  <si>
    <t>ANIRUDDHA PRATAP SINGH</t>
  </si>
  <si>
    <t>DEVESH KUMAR</t>
  </si>
  <si>
    <t>GAURAV KUMAR</t>
  </si>
  <si>
    <t>SAURABH KUMAR</t>
  </si>
  <si>
    <t>YUVRAJ</t>
  </si>
  <si>
    <t>KHUSHBU JADAUN</t>
  </si>
  <si>
    <t>PURVA JAIN</t>
  </si>
  <si>
    <t>HARSHITA</t>
  </si>
  <si>
    <t>TANU DHAKARE</t>
  </si>
  <si>
    <t>SHIVAM RAJPOOT</t>
  </si>
  <si>
    <t>RAJNI KUMARI</t>
  </si>
  <si>
    <t>SUJATA YADAV</t>
  </si>
  <si>
    <t>JANVI</t>
  </si>
  <si>
    <t>BUSHARA KHAN</t>
  </si>
  <si>
    <t>DIVYA SAHU</t>
  </si>
  <si>
    <t>DEEKSHA</t>
  </si>
  <si>
    <t>PRAVENDRA KUMAR</t>
  </si>
  <si>
    <t>DIVYA VERMA</t>
  </si>
  <si>
    <t>SUPRIYA GUPTA</t>
  </si>
  <si>
    <t>MANISH YADAV</t>
  </si>
  <si>
    <t>ZAIBA FATIMA</t>
  </si>
  <si>
    <t>SHREYA</t>
  </si>
  <si>
    <t>JATIN BHARDWAJ</t>
  </si>
  <si>
    <t>ANAMIKA</t>
  </si>
  <si>
    <t>MOHIT SINGH</t>
  </si>
  <si>
    <t>PAVAN KUMAR</t>
  </si>
  <si>
    <t>MANEESH</t>
  </si>
  <si>
    <t>UDAY SONI</t>
  </si>
  <si>
    <t>DIVYANGI SHARMA</t>
  </si>
  <si>
    <t>GOVIND PRATAP SINGH</t>
  </si>
  <si>
    <t>CHARUL VARSHNEY</t>
  </si>
  <si>
    <t>UMESH</t>
  </si>
  <si>
    <t>HEMANT</t>
  </si>
  <si>
    <t>PRINCI AGRAWAL</t>
  </si>
  <si>
    <t>VIJAY SINGH</t>
  </si>
  <si>
    <t>AMIT KUMAR</t>
  </si>
  <si>
    <t>PAYAL</t>
  </si>
  <si>
    <t>SACHIN</t>
  </si>
  <si>
    <t>DOLLY AGRAWAL</t>
  </si>
  <si>
    <t>ROHIT YADAV</t>
  </si>
  <si>
    <t>MAHESH SHARMA</t>
  </si>
  <si>
    <t>Performance Category</t>
  </si>
  <si>
    <t>Pass/Fail</t>
  </si>
  <si>
    <t>Efficiency (StudyHours vs Marks)</t>
  </si>
  <si>
    <t>Metric</t>
  </si>
  <si>
    <t>Value</t>
  </si>
  <si>
    <t>Average Marks</t>
  </si>
  <si>
    <t>Max Marks</t>
  </si>
  <si>
    <t>Min Marks</t>
  </si>
  <si>
    <t>Avg Study Hours</t>
  </si>
  <si>
    <t>Row Labels</t>
  </si>
  <si>
    <t>(blank)</t>
  </si>
  <si>
    <t>Grand Total</t>
  </si>
  <si>
    <t>High</t>
  </si>
  <si>
    <t>Medium</t>
  </si>
  <si>
    <t>Average of Std_Marks</t>
  </si>
  <si>
    <t>Count of Std_Name</t>
  </si>
  <si>
    <t>Average of Std_StudyHours</t>
  </si>
  <si>
    <t>Study Hours</t>
  </si>
  <si>
    <t>Marks</t>
  </si>
  <si>
    <t>Student Performance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</si>
</sst>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20"/>
      <color theme="1"/>
      <name val="Aptos Narrow"/>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5">
    <xf numFmtId="0" fontId="0" fillId="0" borderId="0" xfId="0"/>
    <xf numFmtId="2" fontId="0" fillId="0" borderId="0" xfId="0" applyNumberFormat="1"/>
    <xf numFmtId="0" fontId="0" fillId="0" borderId="0" xfId="0" applyAlignment="1">
      <alignment horizontal="center"/>
    </xf>
    <xf numFmtId="2" fontId="0" fillId="0" borderId="0" xfId="0" applyNumberFormat="1" applyAlignment="1">
      <alignment horizontal="center"/>
    </xf>
    <xf numFmtId="0" fontId="1" fillId="0" borderId="1" xfId="0" applyFont="1" applyBorder="1" applyAlignment="1">
      <alignment horizontal="center" vertical="center" wrapText="1"/>
    </xf>
    <xf numFmtId="0" fontId="0" fillId="0" borderId="1" xfId="0" applyBorder="1"/>
    <xf numFmtId="2" fontId="0" fillId="0" borderId="1" xfId="0" applyNumberFormat="1" applyBorder="1"/>
    <xf numFmtId="0" fontId="0" fillId="0" borderId="0" xfId="0" pivotButton="1"/>
    <xf numFmtId="0" fontId="0" fillId="0" borderId="0" xfId="0" applyAlignment="1">
      <alignment horizontal="left"/>
    </xf>
    <xf numFmtId="0" fontId="0" fillId="0" borderId="0" xfId="0" applyNumberFormat="1"/>
    <xf numFmtId="0" fontId="2" fillId="0" borderId="2" xfId="0" applyFont="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0" xfId="0" applyBorder="1" applyAlignment="1">
      <alignment horizontal="center" vertical="center"/>
    </xf>
    <xf numFmtId="0" fontId="0" fillId="0" borderId="6" xfId="0" applyBorder="1" applyAlignment="1">
      <alignment horizontal="center" vertical="center"/>
    </xf>
    <xf numFmtId="0" fontId="0" fillId="0" borderId="5" xfId="0" applyBorder="1" applyAlignment="1"/>
    <xf numFmtId="0" fontId="0" fillId="0" borderId="0" xfId="0" applyBorder="1" applyAlignment="1"/>
    <xf numFmtId="0" fontId="0" fillId="0" borderId="6" xfId="0" applyBorder="1" applyAlignment="1"/>
    <xf numFmtId="0" fontId="0" fillId="0" borderId="5" xfId="0" applyBorder="1"/>
    <xf numFmtId="0" fontId="0" fillId="0" borderId="0" xfId="0" applyBorder="1"/>
    <xf numFmtId="0" fontId="0" fillId="0" borderId="6" xfId="0" applyBorder="1"/>
    <xf numFmtId="0" fontId="0" fillId="0" borderId="7" xfId="0" applyBorder="1"/>
    <xf numFmtId="0" fontId="0" fillId="0" borderId="8" xfId="0" applyBorder="1"/>
    <xf numFmtId="0" fontId="0" fillId="0" borderId="9" xfId="0" applyBorder="1"/>
  </cellXfs>
  <cellStyles count="1">
    <cellStyle name="Normal" xfId="0" builtinId="0"/>
  </cellStyles>
  <dxfs count="10">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marks tracker.xlsx]analysis!PivotTable1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Branch vs Marks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analysis!$B$8</c:f>
              <c:strCache>
                <c:ptCount val="1"/>
                <c:pt idx="0">
                  <c:v>Total</c:v>
                </c:pt>
              </c:strCache>
            </c:strRef>
          </c:tx>
          <c:spPr>
            <a:solidFill>
              <a:schemeClr val="accent1"/>
            </a:solidFill>
            <a:ln>
              <a:noFill/>
            </a:ln>
            <a:effectLst/>
            <a:sp3d/>
          </c:spPr>
          <c:invertIfNegative val="0"/>
          <c:cat>
            <c:strRef>
              <c:f>analysis!$A$9:$A$23</c:f>
              <c:strCache>
                <c:ptCount val="14"/>
                <c:pt idx="0">
                  <c:v>AGRICULTURE</c:v>
                </c:pt>
                <c:pt idx="1">
                  <c:v>APPLIED BOTANY</c:v>
                </c:pt>
                <c:pt idx="2">
                  <c:v>BC</c:v>
                </c:pt>
                <c:pt idx="3">
                  <c:v>BOTANY</c:v>
                </c:pt>
                <c:pt idx="4">
                  <c:v>BZ</c:v>
                </c:pt>
                <c:pt idx="5">
                  <c:v>CHEMISTRY</c:v>
                </c:pt>
                <c:pt idx="6">
                  <c:v>CS</c:v>
                </c:pt>
                <c:pt idx="7">
                  <c:v>MATHS</c:v>
                </c:pt>
                <c:pt idx="8">
                  <c:v>MC</c:v>
                </c:pt>
                <c:pt idx="9">
                  <c:v>PHYSICS</c:v>
                </c:pt>
                <c:pt idx="10">
                  <c:v>PM</c:v>
                </c:pt>
                <c:pt idx="11">
                  <c:v>ZC</c:v>
                </c:pt>
                <c:pt idx="12">
                  <c:v>ZOOLOGY</c:v>
                </c:pt>
                <c:pt idx="13">
                  <c:v>(blank)</c:v>
                </c:pt>
              </c:strCache>
            </c:strRef>
          </c:cat>
          <c:val>
            <c:numRef>
              <c:f>analysis!$B$9:$B$23</c:f>
              <c:numCache>
                <c:formatCode>General</c:formatCode>
                <c:ptCount val="14"/>
                <c:pt idx="0">
                  <c:v>80.784999999999997</c:v>
                </c:pt>
                <c:pt idx="1">
                  <c:v>81.22</c:v>
                </c:pt>
                <c:pt idx="2">
                  <c:v>79.142499999999998</c:v>
                </c:pt>
                <c:pt idx="3">
                  <c:v>79.91705882352943</c:v>
                </c:pt>
                <c:pt idx="4">
                  <c:v>76.358333333333334</c:v>
                </c:pt>
                <c:pt idx="5">
                  <c:v>77.912916666666675</c:v>
                </c:pt>
                <c:pt idx="6">
                  <c:v>79.045490196078433</c:v>
                </c:pt>
                <c:pt idx="7">
                  <c:v>76.398421052631591</c:v>
                </c:pt>
                <c:pt idx="8">
                  <c:v>75.300000000000011</c:v>
                </c:pt>
                <c:pt idx="9">
                  <c:v>76.790000000000006</c:v>
                </c:pt>
                <c:pt idx="10">
                  <c:v>78.23</c:v>
                </c:pt>
                <c:pt idx="11">
                  <c:v>78.06</c:v>
                </c:pt>
                <c:pt idx="12">
                  <c:v>77.067307692307693</c:v>
                </c:pt>
                <c:pt idx="13">
                  <c:v>80.333333333333329</c:v>
                </c:pt>
              </c:numCache>
            </c:numRef>
          </c:val>
          <c:extLst>
            <c:ext xmlns:c16="http://schemas.microsoft.com/office/drawing/2014/chart" uri="{C3380CC4-5D6E-409C-BE32-E72D297353CC}">
              <c16:uniqueId val="{00000000-A1AB-4A17-B2CD-C10C05EA4D42}"/>
            </c:ext>
          </c:extLst>
        </c:ser>
        <c:dLbls>
          <c:showLegendKey val="0"/>
          <c:showVal val="0"/>
          <c:showCatName val="0"/>
          <c:showSerName val="0"/>
          <c:showPercent val="0"/>
          <c:showBubbleSize val="0"/>
        </c:dLbls>
        <c:gapWidth val="150"/>
        <c:shape val="box"/>
        <c:axId val="411252831"/>
        <c:axId val="411269631"/>
        <c:axId val="0"/>
      </c:bar3DChart>
      <c:catAx>
        <c:axId val="4112528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269631"/>
        <c:crosses val="autoZero"/>
        <c:auto val="1"/>
        <c:lblAlgn val="ctr"/>
        <c:lblOffset val="100"/>
        <c:noMultiLvlLbl val="0"/>
      </c:catAx>
      <c:valAx>
        <c:axId val="4112696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252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marks tracker.xlsx]analysis!PivotTable2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Performance distribution</a:t>
            </a:r>
            <a:endParaRPr lang="en-US"/>
          </a:p>
        </c:rich>
      </c:tx>
      <c:layout>
        <c:manualLayout>
          <c:xMode val="edge"/>
          <c:yMode val="edge"/>
          <c:x val="0.13701247397459487"/>
          <c:y val="5.03827333379369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9.4660423330026153E-2"/>
              <c:y val="-0.1264130484145800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9.4660423330026153E-2"/>
              <c:y val="0.1501154949923137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analysis!$B$27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338-438A-AB41-83E966B7191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338-438A-AB41-83E966B71915}"/>
              </c:ext>
            </c:extLst>
          </c:dPt>
          <c:dLbls>
            <c:dLbl>
              <c:idx val="0"/>
              <c:layout>
                <c:manualLayout>
                  <c:x val="-9.4660423330026153E-2"/>
                  <c:y val="-0.1264130484145800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338-438A-AB41-83E966B71915}"/>
                </c:ext>
              </c:extLst>
            </c:dLbl>
            <c:dLbl>
              <c:idx val="1"/>
              <c:layout>
                <c:manualLayout>
                  <c:x val="9.4660423330026153E-2"/>
                  <c:y val="0.1501154949923137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338-438A-AB41-83E966B7191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analysis!$A$28:$A$30</c:f>
              <c:strCache>
                <c:ptCount val="2"/>
                <c:pt idx="0">
                  <c:v>High</c:v>
                </c:pt>
                <c:pt idx="1">
                  <c:v>Medium</c:v>
                </c:pt>
              </c:strCache>
            </c:strRef>
          </c:cat>
          <c:val>
            <c:numRef>
              <c:f>analysis!$B$28:$B$30</c:f>
              <c:numCache>
                <c:formatCode>General</c:formatCode>
                <c:ptCount val="2"/>
                <c:pt idx="0">
                  <c:v>77</c:v>
                </c:pt>
                <c:pt idx="1">
                  <c:v>123</c:v>
                </c:pt>
              </c:numCache>
            </c:numRef>
          </c:val>
          <c:extLst>
            <c:ext xmlns:c16="http://schemas.microsoft.com/office/drawing/2014/chart" uri="{C3380CC4-5D6E-409C-BE32-E72D297353CC}">
              <c16:uniqueId val="{00000004-2338-438A-AB41-83E966B71915}"/>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marks tracker.xlsx]analysis!PivotTable3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Study hours vs Marks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analysis!$B$34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analysis!$A$35:$A$44</c:f>
              <c:strCache>
                <c:ptCount val="9"/>
                <c:pt idx="0">
                  <c:v>B.Sc 1st year</c:v>
                </c:pt>
                <c:pt idx="1">
                  <c:v>B.Sc 2nd Year</c:v>
                </c:pt>
                <c:pt idx="2">
                  <c:v>B.Sc Honours</c:v>
                </c:pt>
                <c:pt idx="3">
                  <c:v>B.Tech 1st year</c:v>
                </c:pt>
                <c:pt idx="4">
                  <c:v>B.Tech 3rd year</c:v>
                </c:pt>
                <c:pt idx="5">
                  <c:v>B.Tech 4th year</c:v>
                </c:pt>
                <c:pt idx="6">
                  <c:v>M.Sc 1st Year</c:v>
                </c:pt>
                <c:pt idx="7">
                  <c:v>M.Sc 2st Year</c:v>
                </c:pt>
                <c:pt idx="8">
                  <c:v>Ph.D.</c:v>
                </c:pt>
              </c:strCache>
            </c:strRef>
          </c:cat>
          <c:val>
            <c:numRef>
              <c:f>analysis!$B$35:$B$44</c:f>
              <c:numCache>
                <c:formatCode>0.00</c:formatCode>
                <c:ptCount val="9"/>
                <c:pt idx="0">
                  <c:v>7.396864957264957</c:v>
                </c:pt>
                <c:pt idx="1">
                  <c:v>7.0195867269984928</c:v>
                </c:pt>
                <c:pt idx="2">
                  <c:v>7.0369981684981671</c:v>
                </c:pt>
                <c:pt idx="3">
                  <c:v>6.9204249084249083</c:v>
                </c:pt>
                <c:pt idx="4">
                  <c:v>6.7907692307692304</c:v>
                </c:pt>
                <c:pt idx="5">
                  <c:v>6.937391304347825</c:v>
                </c:pt>
                <c:pt idx="6">
                  <c:v>6.6414285714285715</c:v>
                </c:pt>
                <c:pt idx="7">
                  <c:v>7.2003130904183541</c:v>
                </c:pt>
                <c:pt idx="8">
                  <c:v>6.6827999999999994</c:v>
                </c:pt>
              </c:numCache>
            </c:numRef>
          </c:val>
          <c:smooth val="0"/>
          <c:extLst>
            <c:ext xmlns:c16="http://schemas.microsoft.com/office/drawing/2014/chart" uri="{C3380CC4-5D6E-409C-BE32-E72D297353CC}">
              <c16:uniqueId val="{00000000-9835-4FCF-A64A-B0E7EE1843A1}"/>
            </c:ext>
          </c:extLst>
        </c:ser>
        <c:dLbls>
          <c:showLegendKey val="0"/>
          <c:showVal val="0"/>
          <c:showCatName val="0"/>
          <c:showSerName val="0"/>
          <c:showPercent val="0"/>
          <c:showBubbleSize val="0"/>
        </c:dLbls>
        <c:marker val="1"/>
        <c:smooth val="0"/>
        <c:axId val="300937887"/>
        <c:axId val="300939807"/>
      </c:lineChart>
      <c:catAx>
        <c:axId val="300937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939807"/>
        <c:crosses val="autoZero"/>
        <c:auto val="1"/>
        <c:lblAlgn val="ctr"/>
        <c:lblOffset val="100"/>
        <c:noMultiLvlLbl val="0"/>
      </c:catAx>
      <c:valAx>
        <c:axId val="30093980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937887"/>
        <c:crosses val="autoZero"/>
        <c:crossBetween val="between"/>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366352</xdr:colOff>
      <xdr:row>6</xdr:row>
      <xdr:rowOff>7620</xdr:rowOff>
    </xdr:from>
    <xdr:to>
      <xdr:col>11</xdr:col>
      <xdr:colOff>34198</xdr:colOff>
      <xdr:row>19</xdr:row>
      <xdr:rowOff>22859</xdr:rowOff>
    </xdr:to>
    <xdr:graphicFrame macro="">
      <xdr:nvGraphicFramePr>
        <xdr:cNvPr id="2" name="Chart 1">
          <a:extLst>
            <a:ext uri="{FF2B5EF4-FFF2-40B4-BE49-F238E27FC236}">
              <a16:creationId xmlns:a16="http://schemas.microsoft.com/office/drawing/2014/main" id="{B4E28CA0-12B7-473C-A1FC-5664F5A570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92032</xdr:colOff>
      <xdr:row>6</xdr:row>
      <xdr:rowOff>46893</xdr:rowOff>
    </xdr:from>
    <xdr:to>
      <xdr:col>15</xdr:col>
      <xdr:colOff>7620</xdr:colOff>
      <xdr:row>32</xdr:row>
      <xdr:rowOff>137160</xdr:rowOff>
    </xdr:to>
    <xdr:graphicFrame macro="">
      <xdr:nvGraphicFramePr>
        <xdr:cNvPr id="3" name="Chart 2">
          <a:extLst>
            <a:ext uri="{FF2B5EF4-FFF2-40B4-BE49-F238E27FC236}">
              <a16:creationId xmlns:a16="http://schemas.microsoft.com/office/drawing/2014/main" id="{C950F23E-6660-404B-9D6D-4665B9FE29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358726</xdr:colOff>
      <xdr:row>19</xdr:row>
      <xdr:rowOff>63892</xdr:rowOff>
    </xdr:from>
    <xdr:to>
      <xdr:col>11</xdr:col>
      <xdr:colOff>26572</xdr:colOff>
      <xdr:row>32</xdr:row>
      <xdr:rowOff>129540</xdr:rowOff>
    </xdr:to>
    <xdr:graphicFrame macro="">
      <xdr:nvGraphicFramePr>
        <xdr:cNvPr id="4" name="Chart 3">
          <a:extLst>
            <a:ext uri="{FF2B5EF4-FFF2-40B4-BE49-F238E27FC236}">
              <a16:creationId xmlns:a16="http://schemas.microsoft.com/office/drawing/2014/main" id="{C75EE417-84C9-46A3-8214-A1E04E961D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7620</xdr:colOff>
      <xdr:row>6</xdr:row>
      <xdr:rowOff>14254</xdr:rowOff>
    </xdr:from>
    <xdr:to>
      <xdr:col>3</xdr:col>
      <xdr:colOff>320040</xdr:colOff>
      <xdr:row>19</xdr:row>
      <xdr:rowOff>22860</xdr:rowOff>
    </xdr:to>
    <mc:AlternateContent xmlns:mc="http://schemas.openxmlformats.org/markup-compatibility/2006">
      <mc:Choice xmlns:a14="http://schemas.microsoft.com/office/drawing/2010/main" Requires="a14">
        <xdr:graphicFrame macro="">
          <xdr:nvGraphicFramePr>
            <xdr:cNvPr id="5" name="Std_Name">
              <a:extLst>
                <a:ext uri="{FF2B5EF4-FFF2-40B4-BE49-F238E27FC236}">
                  <a16:creationId xmlns:a16="http://schemas.microsoft.com/office/drawing/2014/main" id="{3A56D056-3772-4248-B856-13410516C5B0}"/>
                </a:ext>
              </a:extLst>
            </xdr:cNvPr>
            <xdr:cNvGraphicFramePr/>
          </xdr:nvGraphicFramePr>
          <xdr:xfrm>
            <a:off x="0" y="0"/>
            <a:ext cx="0" cy="0"/>
          </xdr:xfrm>
          <a:graphic>
            <a:graphicData uri="http://schemas.microsoft.com/office/drawing/2010/slicer">
              <sle:slicer xmlns:sle="http://schemas.microsoft.com/office/drawing/2010/slicer" name="Std_Name"/>
            </a:graphicData>
          </a:graphic>
        </xdr:graphicFrame>
      </mc:Choice>
      <mc:Fallback>
        <xdr:sp macro="" textlink="">
          <xdr:nvSpPr>
            <xdr:cNvPr id="0" name=""/>
            <xdr:cNvSpPr>
              <a:spLocks noTextEdit="1"/>
            </xdr:cNvSpPr>
          </xdr:nvSpPr>
          <xdr:spPr>
            <a:xfrm>
              <a:off x="7620" y="1111534"/>
              <a:ext cx="2141220" cy="23860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xdr:row>
      <xdr:rowOff>23154</xdr:rowOff>
    </xdr:from>
    <xdr:to>
      <xdr:col>15</xdr:col>
      <xdr:colOff>0</xdr:colOff>
      <xdr:row>5</xdr:row>
      <xdr:rowOff>152400</xdr:rowOff>
    </xdr:to>
    <mc:AlternateContent xmlns:mc="http://schemas.openxmlformats.org/markup-compatibility/2006">
      <mc:Choice xmlns:a14="http://schemas.microsoft.com/office/drawing/2010/main" Requires="a14">
        <xdr:graphicFrame macro="">
          <xdr:nvGraphicFramePr>
            <xdr:cNvPr id="6" name="Std_Branch">
              <a:extLst>
                <a:ext uri="{FF2B5EF4-FFF2-40B4-BE49-F238E27FC236}">
                  <a16:creationId xmlns:a16="http://schemas.microsoft.com/office/drawing/2014/main" id="{91D9E2CB-04D3-4E42-AE79-AEE6D405A6A4}"/>
                </a:ext>
              </a:extLst>
            </xdr:cNvPr>
            <xdr:cNvGraphicFramePr/>
          </xdr:nvGraphicFramePr>
          <xdr:xfrm>
            <a:off x="0" y="0"/>
            <a:ext cx="0" cy="0"/>
          </xdr:xfrm>
          <a:graphic>
            <a:graphicData uri="http://schemas.microsoft.com/office/drawing/2010/slicer">
              <sle:slicer xmlns:sle="http://schemas.microsoft.com/office/drawing/2010/slicer" name="Std_Branch"/>
            </a:graphicData>
          </a:graphic>
        </xdr:graphicFrame>
      </mc:Choice>
      <mc:Fallback>
        <xdr:sp macro="" textlink="">
          <xdr:nvSpPr>
            <xdr:cNvPr id="0" name=""/>
            <xdr:cNvSpPr>
              <a:spLocks noTextEdit="1"/>
            </xdr:cNvSpPr>
          </xdr:nvSpPr>
          <xdr:spPr>
            <a:xfrm>
              <a:off x="0" y="388914"/>
              <a:ext cx="9204960" cy="6778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66724</xdr:rowOff>
    </xdr:from>
    <xdr:to>
      <xdr:col>3</xdr:col>
      <xdr:colOff>320040</xdr:colOff>
      <xdr:row>29</xdr:row>
      <xdr:rowOff>22859</xdr:rowOff>
    </xdr:to>
    <mc:AlternateContent xmlns:mc="http://schemas.openxmlformats.org/markup-compatibility/2006">
      <mc:Choice xmlns:a14="http://schemas.microsoft.com/office/drawing/2010/main" Requires="a14">
        <xdr:graphicFrame macro="">
          <xdr:nvGraphicFramePr>
            <xdr:cNvPr id="7" name="Std_Course">
              <a:extLst>
                <a:ext uri="{FF2B5EF4-FFF2-40B4-BE49-F238E27FC236}">
                  <a16:creationId xmlns:a16="http://schemas.microsoft.com/office/drawing/2014/main" id="{AA2C2F63-A9D2-4710-8CA5-9E97115F4D44}"/>
                </a:ext>
              </a:extLst>
            </xdr:cNvPr>
            <xdr:cNvGraphicFramePr/>
          </xdr:nvGraphicFramePr>
          <xdr:xfrm>
            <a:off x="0" y="0"/>
            <a:ext cx="0" cy="0"/>
          </xdr:xfrm>
          <a:graphic>
            <a:graphicData uri="http://schemas.microsoft.com/office/drawing/2010/slicer">
              <sle:slicer xmlns:sle="http://schemas.microsoft.com/office/drawing/2010/slicer" name="Std_Course"/>
            </a:graphicData>
          </a:graphic>
        </xdr:graphicFrame>
      </mc:Choice>
      <mc:Fallback>
        <xdr:sp macro="" textlink="">
          <xdr:nvSpPr>
            <xdr:cNvPr id="0" name=""/>
            <xdr:cNvSpPr>
              <a:spLocks noTextEdit="1"/>
            </xdr:cNvSpPr>
          </xdr:nvSpPr>
          <xdr:spPr>
            <a:xfrm>
              <a:off x="0" y="3541444"/>
              <a:ext cx="2148840" cy="17849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29</xdr:row>
      <xdr:rowOff>60743</xdr:rowOff>
    </xdr:from>
    <xdr:to>
      <xdr:col>3</xdr:col>
      <xdr:colOff>320040</xdr:colOff>
      <xdr:row>32</xdr:row>
      <xdr:rowOff>144780</xdr:rowOff>
    </xdr:to>
    <mc:AlternateContent xmlns:mc="http://schemas.openxmlformats.org/markup-compatibility/2006">
      <mc:Choice xmlns:a14="http://schemas.microsoft.com/office/drawing/2010/main" Requires="a14">
        <xdr:graphicFrame macro="">
          <xdr:nvGraphicFramePr>
            <xdr:cNvPr id="8" name="Performance Category">
              <a:extLst>
                <a:ext uri="{FF2B5EF4-FFF2-40B4-BE49-F238E27FC236}">
                  <a16:creationId xmlns:a16="http://schemas.microsoft.com/office/drawing/2014/main" id="{3A9DF154-D3D7-4C89-9591-C5F231580E38}"/>
                </a:ext>
              </a:extLst>
            </xdr:cNvPr>
            <xdr:cNvGraphicFramePr/>
          </xdr:nvGraphicFramePr>
          <xdr:xfrm>
            <a:off x="0" y="0"/>
            <a:ext cx="0" cy="0"/>
          </xdr:xfrm>
          <a:graphic>
            <a:graphicData uri="http://schemas.microsoft.com/office/drawing/2010/slicer">
              <sle:slicer xmlns:sle="http://schemas.microsoft.com/office/drawing/2010/slicer" name="Performance Category"/>
            </a:graphicData>
          </a:graphic>
        </xdr:graphicFrame>
      </mc:Choice>
      <mc:Fallback>
        <xdr:sp macro="" textlink="">
          <xdr:nvSpPr>
            <xdr:cNvPr id="0" name=""/>
            <xdr:cNvSpPr>
              <a:spLocks noTextEdit="1"/>
            </xdr:cNvSpPr>
          </xdr:nvSpPr>
          <xdr:spPr>
            <a:xfrm>
              <a:off x="0" y="5364263"/>
              <a:ext cx="2148840" cy="6326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yank" refreshedDate="46114.650171064815" createdVersion="8" refreshedVersion="8" minRefreshableVersion="3" recordCount="200" xr:uid="{89EEC968-F095-48ED-B8CA-9E0AC46538C3}">
  <cacheSource type="worksheet">
    <worksheetSource name="Table1"/>
  </cacheSource>
  <cacheFields count="9">
    <cacheField name="Std_RollNo" numFmtId="0">
      <sharedItems containsSemiMixedTypes="0" containsString="0" containsNumber="1" containsInteger="1" minValue="240415" maxValue="240613"/>
    </cacheField>
    <cacheField name="Std_Name" numFmtId="0">
      <sharedItems count="197">
        <s v="Tanya Gautam"/>
        <s v="Udit Sagan"/>
        <s v="Kratika Sharma"/>
        <s v="Rakesh Kumar"/>
        <s v="Ritika Katara"/>
        <s v="Anjali Rajupt"/>
        <s v="Suryansh Varshney"/>
        <s v="Sakshi Saxena"/>
        <s v="Yashshvi Dubey"/>
        <s v="Vidushi Bhaskar"/>
        <s v="Riya Tyagi"/>
        <s v="Sneha"/>
        <s v="Shivansh Kulshreshtha"/>
        <s v="Nikhil Kumar"/>
        <s v="Shyam Dev Sharma"/>
        <s v="Shruti Agarwal"/>
        <s v="Deepanshi Shivhare"/>
        <s v="R. Mohan Krishna"/>
        <s v="Damini Chaudhary"/>
        <s v="Shivam Kaushik"/>
        <s v="Radhika Pathak"/>
        <s v="Daya Kumar"/>
        <s v="Aarti Notnani"/>
        <s v="Uddeshya Teotia"/>
        <s v="Charnl"/>
        <s v="Ishita Chauhan"/>
        <s v="Kanha Bindal"/>
        <s v="Rhythm"/>
        <s v="Ananya Lawania"/>
        <s v="Bharat Singh"/>
        <s v="Devendra Arya"/>
        <s v="Kanika Jain"/>
        <s v="Nayan Jain"/>
        <s v="Manisha Kumari"/>
        <s v="Naman Gupta"/>
        <s v="Pranjal"/>
        <s v="Siddartha"/>
        <s v="Pranay Bhatnagar"/>
        <s v="Karan Kumar"/>
        <s v="Uzma Adil"/>
        <s v="Sundus Shamsi"/>
        <s v="Muskan"/>
        <s v="Swati Agarwal"/>
        <s v="Pratyash Singh"/>
        <s v="Ashita Gupta"/>
        <s v="Deeksha Singh Jadon"/>
        <s v="Raj Pratap Singh"/>
        <s v="Anjali Singh"/>
        <s v="Vartika Sharma"/>
        <s v="Ranjini Tyagi"/>
        <s v="Simran Bamola"/>
        <s v="Ruchi Verma"/>
        <s v="R. Teja Vihari"/>
        <s v="Usman Ali"/>
        <s v="Nikita Jain"/>
        <s v="Govind Kushwah"/>
        <s v="Sakshi Agarwal"/>
        <s v="Debaditya"/>
        <s v="Hunny Waswani"/>
        <s v="Sahaj Gupta"/>
        <s v="Abhilasha"/>
        <s v="Jyotika Saxena"/>
        <s v="Arti Gupta"/>
        <s v="Pradeep Yadav"/>
        <s v="Shubham Mishra"/>
        <s v="Riya Sharma"/>
        <s v="Neetu"/>
        <s v="Rohit Sharma"/>
        <s v="Sonia"/>
        <s v="Mridul"/>
        <s v="Zeeshan"/>
        <s v="Apeksha"/>
        <s v="Neha Loach"/>
        <s v="Gurpreet Kaur"/>
        <s v="Sonal Singh"/>
        <s v="Aditi Khandelwal"/>
        <s v="Yogita Singh Kardam"/>
        <s v="Rani Kumari"/>
        <s v="Kratika"/>
        <s v="Arti"/>
        <s v="ANSHIKA BAGHEL"/>
        <s v="AKASH KUSHWAH"/>
        <s v="SHIVAM INDOLIYA"/>
        <s v="HARSHIT BAGHEL"/>
        <s v="ALOK KUMAR"/>
        <s v="VIKRAM SINGH"/>
        <s v="SUHANI"/>
        <s v="ASHISH KUMAR"/>
        <s v="GUNJAN SHARMA"/>
        <s v="NISHU RANA"/>
        <s v="ANJALI"/>
        <s v="DISHA JAIN"/>
        <s v="SUMIT"/>
        <s v="PRIYA"/>
        <s v="AJEET"/>
        <s v="ABHISHEK KUMAR"/>
        <s v="VISHWENDRI CHAUDHARY"/>
        <s v="GOVIND PACHAURI"/>
        <s v="KAMAL SINGH"/>
        <s v="BANDANA JHA"/>
        <s v="JATIN KUSHWAH"/>
        <s v="AKSHAY"/>
        <s v="ARYAN"/>
        <s v="VIVEK GOYAL"/>
        <s v="ILA AHMAD"/>
        <s v="AMIT YADAV"/>
        <s v="SHEKHAR KUMAR"/>
        <s v="VISHAL KUMAR"/>
        <s v="RAM"/>
        <s v="RAGHAV"/>
        <s v="MANISH"/>
        <s v="ANAMIKA YADAV"/>
        <s v="RINKI"/>
        <s v="MANISH KUMAR"/>
        <s v="HIMESH RAJAURIYA"/>
        <s v="KALPANA"/>
        <s v="ANKIT KUMAR"/>
        <s v="KHUSHI YADAV"/>
        <s v="SURATI YADAV"/>
        <s v="UJJAWAL YADAV"/>
        <s v="MUSKAN VERMA"/>
        <s v="NISHTHA SHARMA"/>
        <s v="ANKUR YADAV"/>
        <s v="ANJALI YADAV"/>
        <s v="POOJA"/>
        <s v="PUSHPENDRA KUSHWAH"/>
        <s v="ANISH KUMAR"/>
        <s v="BASHISHTH KUMAR"/>
        <s v="RISHABH SHAKYA"/>
        <s v="AKASH"/>
        <s v="ARPITA"/>
        <s v="ANSHUL PARASHAR"/>
        <s v="SHIVANI YADAV"/>
        <s v="SUMIT KUMAR"/>
        <s v="SWATI SHAKYA"/>
        <s v="PRIYA SINGH"/>
        <s v="VAISHNAVI PANDEY"/>
        <s v="REETESH KUMAR"/>
        <s v="AMARDEEP"/>
        <s v="SATYA PAL SINGH"/>
        <s v="ANJALI TIWARI"/>
        <s v="VIKAS YADAV"/>
        <s v="AKANKSHA YADAV"/>
        <s v="SHIVANG PAL"/>
        <s v="VIPUL KUMAR"/>
        <s v="NIHARIKA KUMARI"/>
        <s v="ANKUR RATHORE"/>
        <s v="ROHIT KUMAR PAL"/>
        <s v="NEMA RAJPOOT"/>
        <s v="SHALINI"/>
        <s v="PREETI"/>
        <s v="RAHUL CHAUDHARY"/>
        <s v="DIPESH KUMAR"/>
        <s v="MEETA"/>
        <s v="YASHPAL RAJPUT"/>
        <s v="APOORVA JAIN"/>
        <s v="ANIRUDDHA PRATAP SINGH"/>
        <s v="DEVESH KUMAR"/>
        <s v="GAURAV KUMAR"/>
        <s v="SAURABH KUMAR"/>
        <s v="YUVRAJ"/>
        <s v="KHUSHBU JADAUN"/>
        <s v="PURVA JAIN"/>
        <s v="HARSHITA"/>
        <s v="TANU DHAKARE"/>
        <s v="SHIVAM RAJPOOT"/>
        <s v="RAJNI KUMARI"/>
        <s v="SUJATA YADAV"/>
        <s v="JANVI"/>
        <s v="BUSHARA KHAN"/>
        <s v="DIVYA SAHU"/>
        <s v="DEEKSHA"/>
        <s v="PRAVENDRA KUMAR"/>
        <s v="DIVYA VERMA"/>
        <s v="SUPRIYA GUPTA"/>
        <s v="MANISH YADAV"/>
        <s v="ZAIBA FATIMA"/>
        <s v="SHREYA"/>
        <s v="JATIN BHARDWAJ"/>
        <s v="ANAMIKA"/>
        <s v="MOHIT SINGH"/>
        <s v="PAVAN KUMAR"/>
        <s v="MANEESH"/>
        <s v="UDAY SONI"/>
        <s v="DIVYANGI SHARMA"/>
        <s v="GOVIND PRATAP SINGH"/>
        <s v="CHARUL VARSHNEY"/>
        <s v="UMESH"/>
        <s v="HEMANT"/>
        <s v="PRINCI AGRAWAL"/>
        <s v="VIJAY SINGH"/>
        <s v="AMIT KUMAR"/>
        <s v="PAYAL"/>
        <s v="SACHIN"/>
        <s v="DOLLY AGRAWAL"/>
        <s v="ROHIT YADAV"/>
        <s v="MAHESH SHARMA"/>
      </sharedItems>
    </cacheField>
    <cacheField name="Std_Branch" numFmtId="0">
      <sharedItems containsBlank="1" count="14">
        <s v="MC"/>
        <s v="PM"/>
        <s v="BZ"/>
        <s v="ZC"/>
        <s v="BC"/>
        <s v="AGRICULTURE"/>
        <s v="CS"/>
        <s v="APPLIED BOTANY"/>
        <s v="MATHS"/>
        <s v="ZOOLOGY"/>
        <s v="CHEMISTRY"/>
        <s v="PHYSICS"/>
        <s v="BOTANY"/>
        <m/>
      </sharedItems>
    </cacheField>
    <cacheField name="Std_Course" numFmtId="0">
      <sharedItems count="9">
        <s v="B.Sc 1st year"/>
        <s v="B.Sc 2nd Year"/>
        <s v="B.Sc Honours"/>
        <s v="M.Sc 1st Year"/>
        <s v="M.Sc 2st Year"/>
        <s v="Ph.D."/>
        <s v="B.Tech 1st year"/>
        <s v="B.Tech 3rd year"/>
        <s v="B.Tech 4th year"/>
      </sharedItems>
    </cacheField>
    <cacheField name="Std_StudyHours" numFmtId="2">
      <sharedItems containsSemiMixedTypes="0" containsString="0" containsNumber="1" minValue="5.01" maxValue="8.99"/>
    </cacheField>
    <cacheField name="Std_Marks" numFmtId="0">
      <sharedItems containsSemiMixedTypes="0" containsString="0" containsNumber="1" minValue="68.569999999999993" maxValue="86.99"/>
    </cacheField>
    <cacheField name="Performance Category" numFmtId="0">
      <sharedItems count="2">
        <s v="Medium"/>
        <s v="High"/>
      </sharedItems>
    </cacheField>
    <cacheField name="Pass/Fail" numFmtId="2">
      <sharedItems/>
    </cacheField>
    <cacheField name="Efficiency (StudyHours vs Marks)" numFmtId="2">
      <sharedItems containsSemiMixedTypes="0" containsString="0" containsNumber="1" minValue="9.3847031963470311" maxValue="14.188605108055009"/>
    </cacheField>
  </cacheFields>
  <extLst>
    <ext xmlns:x14="http://schemas.microsoft.com/office/spreadsheetml/2009/9/main" uri="{725AE2AE-9491-48be-B2B4-4EB974FC3084}">
      <x14:pivotCacheDefinition pivotCacheId="9254169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240415"/>
    <x v="0"/>
    <x v="0"/>
    <x v="0"/>
    <n v="6.83"/>
    <n v="78.5"/>
    <x v="0"/>
    <s v="Pass"/>
    <n v="11.493411420204978"/>
  </r>
  <r>
    <n v="240416"/>
    <x v="1"/>
    <x v="0"/>
    <x v="0"/>
    <n v="6.56"/>
    <n v="76.739999999999995"/>
    <x v="0"/>
    <s v="Pass"/>
    <n v="11.698170731707316"/>
  </r>
  <r>
    <n v="240417"/>
    <x v="2"/>
    <x v="1"/>
    <x v="0"/>
    <n v="6.9959487179487185"/>
    <n v="78.680000000000007"/>
    <x v="0"/>
    <s v="Pass"/>
    <n v="11.246508968560558"/>
  </r>
  <r>
    <n v="240418"/>
    <x v="3"/>
    <x v="1"/>
    <x v="0"/>
    <n v="5.67"/>
    <n v="71.819999999999993"/>
    <x v="0"/>
    <s v="Pass"/>
    <n v="12.666666666666666"/>
  </r>
  <r>
    <n v="240419"/>
    <x v="4"/>
    <x v="1"/>
    <x v="0"/>
    <n v="8.67"/>
    <n v="84.19"/>
    <x v="1"/>
    <s v="Pass"/>
    <n v="9.7104959630911178"/>
  </r>
  <r>
    <n v="240420"/>
    <x v="5"/>
    <x v="2"/>
    <x v="0"/>
    <n v="7.55"/>
    <n v="81.180000000000007"/>
    <x v="1"/>
    <s v="Pass"/>
    <n v="10.752317880794703"/>
  </r>
  <r>
    <n v="240421"/>
    <x v="6"/>
    <x v="2"/>
    <x v="0"/>
    <n v="6.67"/>
    <n v="76.989999999999995"/>
    <x v="0"/>
    <s v="Pass"/>
    <n v="11.542728635682158"/>
  </r>
  <r>
    <n v="240422"/>
    <x v="7"/>
    <x v="3"/>
    <x v="0"/>
    <n v="8.99"/>
    <n v="85.46"/>
    <x v="1"/>
    <s v="Pass"/>
    <n v="9.5061179087875409"/>
  </r>
  <r>
    <n v="240423"/>
    <x v="8"/>
    <x v="3"/>
    <x v="0"/>
    <n v="5.19"/>
    <n v="70.66"/>
    <x v="0"/>
    <s v="Pass"/>
    <n v="13.614643545279382"/>
  </r>
  <r>
    <n v="240424"/>
    <x v="9"/>
    <x v="4"/>
    <x v="0"/>
    <n v="6.75"/>
    <n v="77.819999999999993"/>
    <x v="0"/>
    <s v="Pass"/>
    <n v="11.528888888888888"/>
  </r>
  <r>
    <n v="240425"/>
    <x v="10"/>
    <x v="4"/>
    <x v="0"/>
    <n v="6.59"/>
    <n v="75.37"/>
    <x v="0"/>
    <s v="Pass"/>
    <n v="11.43702579666161"/>
  </r>
  <r>
    <n v="240426"/>
    <x v="11"/>
    <x v="4"/>
    <x v="0"/>
    <n v="8.56"/>
    <n v="83.88"/>
    <x v="1"/>
    <s v="Pass"/>
    <n v="9.7990654205607459"/>
  </r>
  <r>
    <n v="240427"/>
    <x v="12"/>
    <x v="4"/>
    <x v="0"/>
    <n v="7.75"/>
    <n v="79.5"/>
    <x v="0"/>
    <s v="Pass"/>
    <n v="10.258064516129032"/>
  </r>
  <r>
    <n v="240428"/>
    <x v="13"/>
    <x v="5"/>
    <x v="0"/>
    <n v="7.9"/>
    <n v="80.760000000000005"/>
    <x v="1"/>
    <s v="Pass"/>
    <n v="10.222784810126582"/>
  </r>
  <r>
    <n v="240429"/>
    <x v="14"/>
    <x v="5"/>
    <x v="0"/>
    <n v="8.19"/>
    <n v="83.08"/>
    <x v="1"/>
    <s v="Pass"/>
    <n v="10.144078144078145"/>
  </r>
  <r>
    <n v="240430"/>
    <x v="15"/>
    <x v="5"/>
    <x v="0"/>
    <n v="6.55"/>
    <n v="76.03"/>
    <x v="0"/>
    <s v="Pass"/>
    <n v="11.60763358778626"/>
  </r>
  <r>
    <n v="240431"/>
    <x v="16"/>
    <x v="5"/>
    <x v="0"/>
    <n v="6.36"/>
    <n v="76.040000000000006"/>
    <x v="0"/>
    <s v="Pass"/>
    <n v="11.955974842767295"/>
  </r>
  <r>
    <n v="240432"/>
    <x v="17"/>
    <x v="5"/>
    <x v="1"/>
    <n v="8.44"/>
    <n v="85.11"/>
    <x v="1"/>
    <s v="Pass"/>
    <n v="10.084123222748815"/>
  </r>
  <r>
    <n v="240433"/>
    <x v="18"/>
    <x v="5"/>
    <x v="1"/>
    <n v="8.41"/>
    <n v="82.5"/>
    <x v="1"/>
    <s v="Pass"/>
    <n v="9.8097502972651611"/>
  </r>
  <r>
    <n v="240434"/>
    <x v="19"/>
    <x v="5"/>
    <x v="1"/>
    <n v="7.67"/>
    <n v="80.58"/>
    <x v="1"/>
    <s v="Pass"/>
    <n v="10.505867014341591"/>
  </r>
  <r>
    <n v="240435"/>
    <x v="20"/>
    <x v="5"/>
    <x v="1"/>
    <n v="7.42"/>
    <n v="82.18"/>
    <x v="1"/>
    <s v="Pass"/>
    <n v="11.075471698113208"/>
  </r>
  <r>
    <n v="240436"/>
    <x v="21"/>
    <x v="6"/>
    <x v="1"/>
    <n v="8.16"/>
    <n v="83.36"/>
    <x v="1"/>
    <s v="Pass"/>
    <n v="10.215686274509803"/>
  </r>
  <r>
    <n v="240437"/>
    <x v="22"/>
    <x v="2"/>
    <x v="1"/>
    <n v="5.05"/>
    <n v="70.67"/>
    <x v="0"/>
    <s v="Pass"/>
    <n v="13.994059405940595"/>
  </r>
  <r>
    <n v="240438"/>
    <x v="23"/>
    <x v="2"/>
    <x v="1"/>
    <n v="5.85"/>
    <n v="75.02"/>
    <x v="0"/>
    <s v="Pass"/>
    <n v="12.823931623931625"/>
  </r>
  <r>
    <n v="240439"/>
    <x v="24"/>
    <x v="2"/>
    <x v="1"/>
    <n v="5.45"/>
    <n v="70.959999999999994"/>
    <x v="0"/>
    <s v="Pass"/>
    <n v="13.02018348623853"/>
  </r>
  <r>
    <n v="240440"/>
    <x v="25"/>
    <x v="2"/>
    <x v="1"/>
    <n v="7.96"/>
    <n v="83.33"/>
    <x v="1"/>
    <s v="Pass"/>
    <n v="10.46859296482412"/>
  </r>
  <r>
    <n v="240441"/>
    <x v="26"/>
    <x v="0"/>
    <x v="1"/>
    <n v="6.51"/>
    <n v="74.75"/>
    <x v="0"/>
    <s v="Pass"/>
    <n v="11.482334869431645"/>
  </r>
  <r>
    <n v="240442"/>
    <x v="27"/>
    <x v="0"/>
    <x v="1"/>
    <n v="6.73"/>
    <n v="75.650000000000006"/>
    <x v="0"/>
    <s v="Pass"/>
    <n v="11.2407132243685"/>
  </r>
  <r>
    <n v="240443"/>
    <x v="28"/>
    <x v="0"/>
    <x v="1"/>
    <n v="5.94"/>
    <n v="74.150000000000006"/>
    <x v="0"/>
    <s v="Pass"/>
    <n v="12.483164983164983"/>
  </r>
  <r>
    <n v="240444"/>
    <x v="29"/>
    <x v="7"/>
    <x v="1"/>
    <n v="7.48"/>
    <n v="80.17"/>
    <x v="1"/>
    <s v="Pass"/>
    <n v="10.717914438502673"/>
  </r>
  <r>
    <n v="240445"/>
    <x v="30"/>
    <x v="7"/>
    <x v="1"/>
    <n v="8.1300000000000008"/>
    <n v="82.27"/>
    <x v="1"/>
    <s v="Pass"/>
    <n v="10.11931119311193"/>
  </r>
  <r>
    <n v="240446"/>
    <x v="31"/>
    <x v="8"/>
    <x v="2"/>
    <n v="6.9959487179487185"/>
    <n v="76.14"/>
    <x v="0"/>
    <s v="Pass"/>
    <n v="10.883441698858679"/>
  </r>
  <r>
    <n v="240447"/>
    <x v="32"/>
    <x v="8"/>
    <x v="2"/>
    <n v="5.4"/>
    <n v="71.099999999999994"/>
    <x v="0"/>
    <s v="Pass"/>
    <n v="13.166666666666664"/>
  </r>
  <r>
    <n v="240448"/>
    <x v="33"/>
    <x v="6"/>
    <x v="2"/>
    <n v="8.7799999999999994"/>
    <n v="84.35"/>
    <x v="1"/>
    <s v="Pass"/>
    <n v="9.6070615034168565"/>
  </r>
  <r>
    <n v="240449"/>
    <x v="34"/>
    <x v="6"/>
    <x v="2"/>
    <n v="8.7200000000000006"/>
    <n v="83.08"/>
    <x v="1"/>
    <s v="Pass"/>
    <n v="9.5275229357798157"/>
  </r>
  <r>
    <n v="240450"/>
    <x v="35"/>
    <x v="6"/>
    <x v="2"/>
    <n v="7.1"/>
    <n v="76.760000000000005"/>
    <x v="0"/>
    <s v="Pass"/>
    <n v="10.811267605633804"/>
  </r>
  <r>
    <n v="240451"/>
    <x v="36"/>
    <x v="6"/>
    <x v="2"/>
    <n v="7.86"/>
    <n v="81.239999999999995"/>
    <x v="1"/>
    <s v="Pass"/>
    <n v="10.335877862595419"/>
  </r>
  <r>
    <n v="240452"/>
    <x v="37"/>
    <x v="9"/>
    <x v="2"/>
    <n v="7.19"/>
    <n v="78.209999999999994"/>
    <x v="0"/>
    <s v="Pass"/>
    <n v="10.87760778859527"/>
  </r>
  <r>
    <n v="240453"/>
    <x v="38"/>
    <x v="9"/>
    <x v="2"/>
    <n v="5.62"/>
    <n v="73.08"/>
    <x v="0"/>
    <s v="Pass"/>
    <n v="13.003558718861209"/>
  </r>
  <r>
    <n v="240454"/>
    <x v="39"/>
    <x v="9"/>
    <x v="2"/>
    <n v="7.88"/>
    <n v="83.23"/>
    <x v="1"/>
    <s v="Pass"/>
    <n v="10.562182741116752"/>
  </r>
  <r>
    <n v="240455"/>
    <x v="40"/>
    <x v="9"/>
    <x v="2"/>
    <n v="5.28"/>
    <n v="70.27"/>
    <x v="0"/>
    <s v="Pass"/>
    <n v="13.308712121212119"/>
  </r>
  <r>
    <n v="240456"/>
    <x v="41"/>
    <x v="10"/>
    <x v="2"/>
    <n v="8.92"/>
    <n v="86.41"/>
    <x v="1"/>
    <s v="Pass"/>
    <n v="9.6872197309417043"/>
  </r>
  <r>
    <n v="240457"/>
    <x v="42"/>
    <x v="10"/>
    <x v="2"/>
    <n v="5.46"/>
    <n v="71.099999999999994"/>
    <x v="0"/>
    <s v="Pass"/>
    <n v="13.021978021978022"/>
  </r>
  <r>
    <n v="240458"/>
    <x v="43"/>
    <x v="10"/>
    <x v="2"/>
    <n v="8.3000000000000007"/>
    <n v="82.84"/>
    <x v="1"/>
    <s v="Pass"/>
    <n v="9.9807228915662645"/>
  </r>
  <r>
    <n v="240459"/>
    <x v="44"/>
    <x v="11"/>
    <x v="2"/>
    <n v="8.09"/>
    <n v="82.38"/>
    <x v="1"/>
    <s v="Pass"/>
    <n v="10.182941903584672"/>
  </r>
  <r>
    <n v="240460"/>
    <x v="45"/>
    <x v="9"/>
    <x v="3"/>
    <n v="6.18"/>
    <n v="72.959999999999994"/>
    <x v="0"/>
    <s v="Pass"/>
    <n v="11.805825242718447"/>
  </r>
  <r>
    <n v="240461"/>
    <x v="46"/>
    <x v="8"/>
    <x v="3"/>
    <n v="7.01"/>
    <n v="77.459999999999994"/>
    <x v="0"/>
    <s v="Pass"/>
    <n v="11.049928673323823"/>
  </r>
  <r>
    <n v="240462"/>
    <x v="47"/>
    <x v="8"/>
    <x v="3"/>
    <n v="5.01"/>
    <n v="70.11"/>
    <x v="0"/>
    <s v="Pass"/>
    <n v="13.994011976047904"/>
  </r>
  <r>
    <n v="240463"/>
    <x v="48"/>
    <x v="10"/>
    <x v="3"/>
    <n v="5.54"/>
    <n v="72.38"/>
    <x v="0"/>
    <s v="Pass"/>
    <n v="13.064981949458483"/>
  </r>
  <r>
    <n v="240464"/>
    <x v="49"/>
    <x v="10"/>
    <x v="3"/>
    <n v="5.09"/>
    <n v="71.41"/>
    <x v="0"/>
    <s v="Pass"/>
    <n v="14.029469548133594"/>
  </r>
  <r>
    <n v="240465"/>
    <x v="50"/>
    <x v="10"/>
    <x v="3"/>
    <n v="5.09"/>
    <n v="72.22"/>
    <x v="0"/>
    <s v="Pass"/>
    <n v="14.188605108055009"/>
  </r>
  <r>
    <n v="240466"/>
    <x v="51"/>
    <x v="10"/>
    <x v="3"/>
    <n v="7.31"/>
    <n v="77.77"/>
    <x v="0"/>
    <s v="Pass"/>
    <n v="10.638850889192886"/>
  </r>
  <r>
    <n v="240467"/>
    <x v="52"/>
    <x v="6"/>
    <x v="3"/>
    <n v="8.7100000000000009"/>
    <n v="84.44"/>
    <x v="1"/>
    <s v="Pass"/>
    <n v="9.6946039035591269"/>
  </r>
  <r>
    <n v="240468"/>
    <x v="53"/>
    <x v="6"/>
    <x v="3"/>
    <n v="5.52"/>
    <n v="71.45"/>
    <x v="0"/>
    <s v="Pass"/>
    <n v="12.943840579710146"/>
  </r>
  <r>
    <n v="240469"/>
    <x v="54"/>
    <x v="6"/>
    <x v="3"/>
    <n v="8.76"/>
    <n v="82.21"/>
    <x v="1"/>
    <s v="Pass"/>
    <n v="9.3847031963470311"/>
  </r>
  <r>
    <n v="240470"/>
    <x v="55"/>
    <x v="6"/>
    <x v="3"/>
    <n v="8.69"/>
    <n v="85.48"/>
    <x v="1"/>
    <s v="Pass"/>
    <n v="9.8365937859608756"/>
  </r>
  <r>
    <n v="240471"/>
    <x v="56"/>
    <x v="6"/>
    <x v="3"/>
    <n v="5.75"/>
    <n v="75.03"/>
    <x v="0"/>
    <s v="Pass"/>
    <n v="13.048695652173913"/>
  </r>
  <r>
    <n v="240472"/>
    <x v="57"/>
    <x v="12"/>
    <x v="3"/>
    <n v="8.93"/>
    <n v="86.65"/>
    <x v="1"/>
    <s v="Pass"/>
    <n v="9.703247480403137"/>
  </r>
  <r>
    <n v="240473"/>
    <x v="58"/>
    <x v="12"/>
    <x v="3"/>
    <n v="5.39"/>
    <n v="70.900000000000006"/>
    <x v="0"/>
    <s v="Pass"/>
    <n v="13.153988868274585"/>
  </r>
  <r>
    <n v="240474"/>
    <x v="59"/>
    <x v="9"/>
    <x v="4"/>
    <n v="5.65"/>
    <n v="71.7"/>
    <x v="0"/>
    <s v="Pass"/>
    <n v="12.690265486725663"/>
  </r>
  <r>
    <n v="240475"/>
    <x v="60"/>
    <x v="9"/>
    <x v="4"/>
    <n v="5.49"/>
    <n v="73.61"/>
    <x v="0"/>
    <s v="Pass"/>
    <n v="13.408014571948998"/>
  </r>
  <r>
    <n v="240476"/>
    <x v="61"/>
    <x v="10"/>
    <x v="4"/>
    <n v="7.26"/>
    <n v="79.41"/>
    <x v="0"/>
    <s v="Pass"/>
    <n v="10.938016528925619"/>
  </r>
  <r>
    <n v="240477"/>
    <x v="62"/>
    <x v="10"/>
    <x v="4"/>
    <n v="6.35"/>
    <n v="76.19"/>
    <x v="0"/>
    <s v="Pass"/>
    <n v="11.998425196850395"/>
  </r>
  <r>
    <n v="240478"/>
    <x v="63"/>
    <x v="10"/>
    <x v="4"/>
    <n v="7.72"/>
    <n v="80.430000000000007"/>
    <x v="1"/>
    <s v="Pass"/>
    <n v="10.41839378238342"/>
  </r>
  <r>
    <n v="240479"/>
    <x v="64"/>
    <x v="10"/>
    <x v="4"/>
    <n v="8.8800000000000008"/>
    <n v="85.78"/>
    <x v="1"/>
    <s v="Pass"/>
    <n v="9.6599099099099099"/>
  </r>
  <r>
    <n v="240480"/>
    <x v="65"/>
    <x v="6"/>
    <x v="4"/>
    <n v="5.45"/>
    <n v="70.06"/>
    <x v="0"/>
    <s v="Pass"/>
    <n v="12.855045871559634"/>
  </r>
  <r>
    <n v="240481"/>
    <x v="62"/>
    <x v="6"/>
    <x v="4"/>
    <n v="7.86"/>
    <n v="81.25"/>
    <x v="1"/>
    <s v="Pass"/>
    <n v="10.337150127226463"/>
  </r>
  <r>
    <n v="240482"/>
    <x v="66"/>
    <x v="12"/>
    <x v="4"/>
    <n v="8.26"/>
    <n v="81.7"/>
    <x v="1"/>
    <s v="Pass"/>
    <n v="9.8910411622276033"/>
  </r>
  <r>
    <n v="240483"/>
    <x v="67"/>
    <x v="6"/>
    <x v="5"/>
    <n v="5.07"/>
    <n v="69.27"/>
    <x v="0"/>
    <s v="Pass"/>
    <n v="13.662721893491122"/>
  </r>
  <r>
    <n v="240484"/>
    <x v="68"/>
    <x v="6"/>
    <x v="5"/>
    <n v="8.25"/>
    <n v="82.79"/>
    <x v="1"/>
    <s v="Pass"/>
    <n v="10.035151515151515"/>
  </r>
  <r>
    <n v="240485"/>
    <x v="69"/>
    <x v="11"/>
    <x v="5"/>
    <n v="5.37"/>
    <n v="71.8"/>
    <x v="0"/>
    <s v="Pass"/>
    <n v="13.370577281191805"/>
  </r>
  <r>
    <n v="240486"/>
    <x v="70"/>
    <x v="11"/>
    <x v="5"/>
    <n v="5.1100000000000003"/>
    <n v="71.790000000000006"/>
    <x v="0"/>
    <s v="Pass"/>
    <n v="14.048923679060666"/>
  </r>
  <r>
    <n v="240487"/>
    <x v="71"/>
    <x v="9"/>
    <x v="5"/>
    <n v="6.35"/>
    <n v="74.97"/>
    <x v="0"/>
    <s v="Pass"/>
    <n v="11.806299212598425"/>
  </r>
  <r>
    <n v="240488"/>
    <x v="72"/>
    <x v="9"/>
    <x v="5"/>
    <n v="7.41"/>
    <n v="78.61"/>
    <x v="0"/>
    <s v="Pass"/>
    <n v="10.60863697705803"/>
  </r>
  <r>
    <n v="240489"/>
    <x v="73"/>
    <x v="10"/>
    <x v="5"/>
    <n v="7.31"/>
    <n v="77.59"/>
    <x v="0"/>
    <s v="Pass"/>
    <n v="10.614227086183311"/>
  </r>
  <r>
    <n v="240490"/>
    <x v="74"/>
    <x v="10"/>
    <x v="5"/>
    <n v="6.04"/>
    <n v="72.33"/>
    <x v="0"/>
    <s v="Pass"/>
    <n v="11.975165562913906"/>
  </r>
  <r>
    <n v="240491"/>
    <x v="75"/>
    <x v="8"/>
    <x v="5"/>
    <n v="5.1100000000000003"/>
    <n v="72.08"/>
    <x v="0"/>
    <s v="Pass"/>
    <n v="14.105675146771036"/>
  </r>
  <r>
    <n v="240492"/>
    <x v="76"/>
    <x v="8"/>
    <x v="5"/>
    <n v="6.56"/>
    <n v="77.33"/>
    <x v="0"/>
    <s v="Pass"/>
    <n v="11.788109756097562"/>
  </r>
  <r>
    <n v="240493"/>
    <x v="77"/>
    <x v="8"/>
    <x v="5"/>
    <n v="5.09"/>
    <n v="70.05"/>
    <x v="0"/>
    <s v="Pass"/>
    <n v="13.762278978388998"/>
  </r>
  <r>
    <n v="240494"/>
    <x v="78"/>
    <x v="12"/>
    <x v="5"/>
    <n v="5.88"/>
    <n v="73.34"/>
    <x v="0"/>
    <s v="Pass"/>
    <n v="12.472789115646259"/>
  </r>
  <r>
    <n v="240495"/>
    <x v="79"/>
    <x v="12"/>
    <x v="5"/>
    <n v="8.34"/>
    <n v="84"/>
    <x v="1"/>
    <s v="Pass"/>
    <n v="10.071942446043165"/>
  </r>
  <r>
    <n v="240496"/>
    <x v="80"/>
    <x v="6"/>
    <x v="6"/>
    <n v="7.94"/>
    <n v="82.93"/>
    <x v="1"/>
    <s v="Pass"/>
    <n v="10.444584382871536"/>
  </r>
  <r>
    <n v="240497"/>
    <x v="81"/>
    <x v="6"/>
    <x v="6"/>
    <n v="6.66"/>
    <n v="76.63"/>
    <x v="0"/>
    <s v="Pass"/>
    <n v="11.506006006006006"/>
  </r>
  <r>
    <n v="240498"/>
    <x v="82"/>
    <x v="6"/>
    <x v="6"/>
    <n v="6.01"/>
    <n v="75.36"/>
    <x v="0"/>
    <s v="Pass"/>
    <n v="12.539101497504159"/>
  </r>
  <r>
    <n v="240499"/>
    <x v="83"/>
    <x v="6"/>
    <x v="6"/>
    <n v="6.88"/>
    <n v="77.290000000000006"/>
    <x v="0"/>
    <s v="Pass"/>
    <n v="11.234011627906979"/>
  </r>
  <r>
    <n v="240500"/>
    <x v="84"/>
    <x v="6"/>
    <x v="6"/>
    <n v="5.63"/>
    <n v="72.87"/>
    <x v="0"/>
    <s v="Pass"/>
    <n v="12.943161634103021"/>
  </r>
  <r>
    <n v="240501"/>
    <x v="85"/>
    <x v="11"/>
    <x v="6"/>
    <n v="5.88"/>
    <n v="73.400000000000006"/>
    <x v="0"/>
    <s v="Pass"/>
    <n v="12.482993197278912"/>
  </r>
  <r>
    <n v="240502"/>
    <x v="86"/>
    <x v="11"/>
    <x v="6"/>
    <n v="8.0500000000000007"/>
    <n v="81.739999999999995"/>
    <x v="1"/>
    <s v="Pass"/>
    <n v="10.154037267080744"/>
  </r>
  <r>
    <n v="240503"/>
    <x v="87"/>
    <x v="12"/>
    <x v="0"/>
    <n v="5.33"/>
    <n v="71.849999999999994"/>
    <x v="0"/>
    <s v="Pass"/>
    <n v="13.48030018761726"/>
  </r>
  <r>
    <n v="240504"/>
    <x v="88"/>
    <x v="12"/>
    <x v="0"/>
    <n v="8.7899999999999991"/>
    <n v="84.6"/>
    <x v="1"/>
    <s v="Pass"/>
    <n v="9.6245733788395906"/>
  </r>
  <r>
    <n v="240505"/>
    <x v="89"/>
    <x v="8"/>
    <x v="6"/>
    <n v="7.52"/>
    <n v="79.56"/>
    <x v="0"/>
    <s v="Pass"/>
    <n v="10.579787234042554"/>
  </r>
  <r>
    <n v="240506"/>
    <x v="90"/>
    <x v="11"/>
    <x v="6"/>
    <n v="8.1999999999999993"/>
    <n v="82.1"/>
    <x v="1"/>
    <s v="Pass"/>
    <n v="10.012195121951219"/>
  </r>
  <r>
    <n v="240507"/>
    <x v="91"/>
    <x v="11"/>
    <x v="6"/>
    <n v="5.44"/>
    <n v="72.08"/>
    <x v="0"/>
    <s v="Pass"/>
    <n v="13.249999999999998"/>
  </r>
  <r>
    <n v="240508"/>
    <x v="92"/>
    <x v="10"/>
    <x v="6"/>
    <n v="7.9"/>
    <n v="79.099999999999994"/>
    <x v="0"/>
    <s v="Pass"/>
    <n v="10.0126582278481"/>
  </r>
  <r>
    <n v="240509"/>
    <x v="93"/>
    <x v="10"/>
    <x v="6"/>
    <n v="7.69"/>
    <n v="81.010000000000005"/>
    <x v="1"/>
    <s v="Pass"/>
    <n v="10.534460338101431"/>
  </r>
  <r>
    <n v="240510"/>
    <x v="94"/>
    <x v="10"/>
    <x v="6"/>
    <n v="6.09"/>
    <n v="76.48"/>
    <x v="0"/>
    <s v="Pass"/>
    <n v="12.558292282430214"/>
  </r>
  <r>
    <n v="240511"/>
    <x v="95"/>
    <x v="10"/>
    <x v="6"/>
    <n v="6.9959487179487185"/>
    <n v="75.39"/>
    <x v="0"/>
    <s v="Pass"/>
    <n v="10.776236796387652"/>
  </r>
  <r>
    <n v="240512"/>
    <x v="96"/>
    <x v="9"/>
    <x v="2"/>
    <n v="5.2"/>
    <n v="68.569999999999993"/>
    <x v="0"/>
    <s v="Pass"/>
    <n v="13.18653846153846"/>
  </r>
  <r>
    <n v="240513"/>
    <x v="97"/>
    <x v="9"/>
    <x v="2"/>
    <n v="8.8800000000000008"/>
    <n v="83.64"/>
    <x v="1"/>
    <s v="Pass"/>
    <n v="9.4189189189189175"/>
  </r>
  <r>
    <n v="240514"/>
    <x v="98"/>
    <x v="6"/>
    <x v="7"/>
    <n v="8.07"/>
    <n v="82.3"/>
    <x v="1"/>
    <s v="Pass"/>
    <n v="10.198265179677819"/>
  </r>
  <r>
    <n v="240515"/>
    <x v="99"/>
    <x v="6"/>
    <x v="7"/>
    <n v="6.24"/>
    <n v="75.180000000000007"/>
    <x v="0"/>
    <s v="Pass"/>
    <n v="12.048076923076923"/>
  </r>
  <r>
    <n v="240516"/>
    <x v="100"/>
    <x v="6"/>
    <x v="7"/>
    <n v="7.95"/>
    <n v="82.03"/>
    <x v="1"/>
    <s v="Pass"/>
    <n v="10.318238993710692"/>
  </r>
  <r>
    <n v="240517"/>
    <x v="101"/>
    <x v="6"/>
    <x v="7"/>
    <n v="8.26"/>
    <n v="82.99"/>
    <x v="1"/>
    <s v="Pass"/>
    <n v="10.047215496368038"/>
  </r>
  <r>
    <n v="240518"/>
    <x v="102"/>
    <x v="6"/>
    <x v="7"/>
    <n v="7.31"/>
    <n v="79.260000000000005"/>
    <x v="0"/>
    <s v="Pass"/>
    <n v="10.842681258549932"/>
  </r>
  <r>
    <n v="240519"/>
    <x v="103"/>
    <x v="12"/>
    <x v="2"/>
    <n v="7.23"/>
    <n v="77.55"/>
    <x v="0"/>
    <s v="Pass"/>
    <n v="10.726141078838173"/>
  </r>
  <r>
    <n v="240520"/>
    <x v="104"/>
    <x v="12"/>
    <x v="2"/>
    <n v="6.46"/>
    <n v="77.069999999999993"/>
    <x v="0"/>
    <s v="Pass"/>
    <n v="11.930340557275541"/>
  </r>
  <r>
    <n v="240521"/>
    <x v="105"/>
    <x v="8"/>
    <x v="7"/>
    <n v="5.34"/>
    <n v="72.099999999999994"/>
    <x v="0"/>
    <s v="Pass"/>
    <n v="13.50187265917603"/>
  </r>
  <r>
    <n v="240522"/>
    <x v="106"/>
    <x v="8"/>
    <x v="7"/>
    <n v="5.72"/>
    <n v="73.25"/>
    <x v="0"/>
    <s v="Pass"/>
    <n v="12.805944055944057"/>
  </r>
  <r>
    <n v="240523"/>
    <x v="107"/>
    <x v="11"/>
    <x v="7"/>
    <n v="5.84"/>
    <n v="74.25"/>
    <x v="0"/>
    <s v="Pass"/>
    <n v="12.714041095890412"/>
  </r>
  <r>
    <n v="240524"/>
    <x v="108"/>
    <x v="11"/>
    <x v="7"/>
    <n v="5.0199999999999996"/>
    <n v="70.58"/>
    <x v="0"/>
    <s v="Pass"/>
    <n v="14.0597609561753"/>
  </r>
  <r>
    <n v="240525"/>
    <x v="109"/>
    <x v="9"/>
    <x v="2"/>
    <n v="7.98"/>
    <n v="81.08"/>
    <x v="1"/>
    <s v="Pass"/>
    <n v="10.160401002506266"/>
  </r>
  <r>
    <n v="240526"/>
    <x v="110"/>
    <x v="9"/>
    <x v="2"/>
    <n v="6.37"/>
    <n v="75.040000000000006"/>
    <x v="0"/>
    <s v="Pass"/>
    <n v="11.780219780219781"/>
  </r>
  <r>
    <n v="240527"/>
    <x v="111"/>
    <x v="9"/>
    <x v="2"/>
    <n v="6.92"/>
    <n v="76.38"/>
    <x v="0"/>
    <s v="Pass"/>
    <n v="11.037572254335259"/>
  </r>
  <r>
    <n v="240528"/>
    <x v="112"/>
    <x v="9"/>
    <x v="2"/>
    <n v="7.95"/>
    <n v="80.86"/>
    <x v="1"/>
    <s v="Pass"/>
    <n v="10.171069182389937"/>
  </r>
  <r>
    <n v="240529"/>
    <x v="113"/>
    <x v="0"/>
    <x v="8"/>
    <n v="7.12"/>
    <n v="78.42"/>
    <x v="0"/>
    <s v="Pass"/>
    <n v="11.014044943820224"/>
  </r>
  <r>
    <n v="240530"/>
    <x v="114"/>
    <x v="0"/>
    <x v="8"/>
    <n v="5.79"/>
    <n v="74.44"/>
    <x v="0"/>
    <s v="Pass"/>
    <n v="12.856649395509498"/>
  </r>
  <r>
    <n v="240531"/>
    <x v="115"/>
    <x v="0"/>
    <x v="8"/>
    <n v="5.4"/>
    <n v="70.34"/>
    <x v="0"/>
    <s v="Pass"/>
    <n v="13.025925925925925"/>
  </r>
  <r>
    <n v="240532"/>
    <x v="87"/>
    <x v="6"/>
    <x v="8"/>
    <n v="8.83"/>
    <n v="85.04"/>
    <x v="1"/>
    <s v="Pass"/>
    <n v="9.6308040770101933"/>
  </r>
  <r>
    <n v="240533"/>
    <x v="116"/>
    <x v="6"/>
    <x v="8"/>
    <n v="5.69"/>
    <n v="73.61"/>
    <x v="0"/>
    <s v="Pass"/>
    <n v="12.936731107205622"/>
  </r>
  <r>
    <n v="240534"/>
    <x v="117"/>
    <x v="0"/>
    <x v="8"/>
    <n v="6.6"/>
    <n v="75.55"/>
    <x v="0"/>
    <s v="Pass"/>
    <n v="11.446969696969697"/>
  </r>
  <r>
    <n v="240535"/>
    <x v="118"/>
    <x v="0"/>
    <x v="8"/>
    <n v="6.52"/>
    <n v="76.2"/>
    <x v="0"/>
    <s v="Pass"/>
    <n v="11.687116564417179"/>
  </r>
  <r>
    <n v="240536"/>
    <x v="119"/>
    <x v="12"/>
    <x v="4"/>
    <n v="8.31"/>
    <n v="82.69"/>
    <x v="1"/>
    <s v="Pass"/>
    <n v="9.9506618531889277"/>
  </r>
  <r>
    <n v="240537"/>
    <x v="120"/>
    <x v="10"/>
    <x v="4"/>
    <n v="6.9959487179487185"/>
    <n v="76.83"/>
    <x v="0"/>
    <s v="Pass"/>
    <n v="10.982070209132024"/>
  </r>
  <r>
    <n v="240538"/>
    <x v="121"/>
    <x v="13"/>
    <x v="4"/>
    <n v="7.62"/>
    <n v="79.53"/>
    <x v="0"/>
    <s v="Pass"/>
    <n v="10.437007874015748"/>
  </r>
  <r>
    <n v="240539"/>
    <x v="122"/>
    <x v="10"/>
    <x v="4"/>
    <n v="8.69"/>
    <n v="83.57"/>
    <x v="1"/>
    <s v="Pass"/>
    <n v="9.6168009205983882"/>
  </r>
  <r>
    <n v="240540"/>
    <x v="123"/>
    <x v="10"/>
    <x v="8"/>
    <n v="8.75"/>
    <n v="85.95"/>
    <x v="1"/>
    <s v="Pass"/>
    <n v="9.8228571428571438"/>
  </r>
  <r>
    <n v="240541"/>
    <x v="124"/>
    <x v="6"/>
    <x v="8"/>
    <n v="6.46"/>
    <n v="76.02"/>
    <x v="0"/>
    <s v="Pass"/>
    <n v="11.767801857585139"/>
  </r>
  <r>
    <n v="240542"/>
    <x v="125"/>
    <x v="6"/>
    <x v="8"/>
    <n v="7.14"/>
    <n v="77.650000000000006"/>
    <x v="0"/>
    <s v="Pass"/>
    <n v="10.875350140056023"/>
  </r>
  <r>
    <n v="240543"/>
    <x v="126"/>
    <x v="9"/>
    <x v="2"/>
    <n v="6.38"/>
    <n v="77.010000000000005"/>
    <x v="0"/>
    <s v="Pass"/>
    <n v="12.070532915360502"/>
  </r>
  <r>
    <n v="240544"/>
    <x v="127"/>
    <x v="9"/>
    <x v="2"/>
    <n v="6.33"/>
    <n v="74.489999999999995"/>
    <x v="0"/>
    <s v="Pass"/>
    <n v="11.76777251184834"/>
  </r>
  <r>
    <n v="240545"/>
    <x v="128"/>
    <x v="9"/>
    <x v="2"/>
    <n v="5.64"/>
    <n v="73.19"/>
    <x v="0"/>
    <s v="Pass"/>
    <n v="12.976950354609929"/>
  </r>
  <r>
    <n v="240546"/>
    <x v="129"/>
    <x v="9"/>
    <x v="2"/>
    <n v="5.26"/>
    <n v="71.86"/>
    <x v="0"/>
    <s v="Pass"/>
    <n v="13.661596958174906"/>
  </r>
  <r>
    <n v="240547"/>
    <x v="130"/>
    <x v="0"/>
    <x v="8"/>
    <n v="6.83"/>
    <n v="75.8"/>
    <x v="0"/>
    <s v="Pass"/>
    <n v="11.09809663250366"/>
  </r>
  <r>
    <n v="240548"/>
    <x v="131"/>
    <x v="0"/>
    <x v="8"/>
    <n v="5.76"/>
    <n v="72.459999999999994"/>
    <x v="0"/>
    <s v="Pass"/>
    <n v="12.579861111111111"/>
  </r>
  <r>
    <n v="240549"/>
    <x v="132"/>
    <x v="13"/>
    <x v="2"/>
    <n v="6.51"/>
    <n v="78.39"/>
    <x v="0"/>
    <s v="Pass"/>
    <n v="12.041474654377881"/>
  </r>
  <r>
    <n v="240550"/>
    <x v="133"/>
    <x v="12"/>
    <x v="2"/>
    <n v="8.33"/>
    <n v="83.48"/>
    <x v="1"/>
    <s v="Pass"/>
    <n v="10.021608643457384"/>
  </r>
  <r>
    <n v="240551"/>
    <x v="134"/>
    <x v="12"/>
    <x v="0"/>
    <n v="8.16"/>
    <n v="83.15"/>
    <x v="1"/>
    <s v="Pass"/>
    <n v="10.189950980392158"/>
  </r>
  <r>
    <n v="240552"/>
    <x v="135"/>
    <x v="0"/>
    <x v="0"/>
    <n v="5.14"/>
    <n v="71.22"/>
    <x v="0"/>
    <s v="Pass"/>
    <n v="13.85603112840467"/>
  </r>
  <r>
    <n v="240553"/>
    <x v="136"/>
    <x v="10"/>
    <x v="0"/>
    <n v="8.7100000000000009"/>
    <n v="85.98"/>
    <x v="1"/>
    <s v="Pass"/>
    <n v="9.8714121699196316"/>
  </r>
  <r>
    <n v="240554"/>
    <x v="137"/>
    <x v="9"/>
    <x v="0"/>
    <n v="8.6"/>
    <n v="83.91"/>
    <x v="1"/>
    <s v="Pass"/>
    <n v="9.756976744186046"/>
  </r>
  <r>
    <n v="240554"/>
    <x v="138"/>
    <x v="6"/>
    <x v="0"/>
    <n v="8.6"/>
    <n v="84.58"/>
    <x v="1"/>
    <s v="Pass"/>
    <n v="9.8348837209302324"/>
  </r>
  <r>
    <n v="240555"/>
    <x v="139"/>
    <x v="6"/>
    <x v="0"/>
    <n v="7.43"/>
    <n v="80.31"/>
    <x v="1"/>
    <s v="Pass"/>
    <n v="10.808882907133244"/>
  </r>
  <r>
    <n v="240556"/>
    <x v="140"/>
    <x v="8"/>
    <x v="0"/>
    <n v="7.81"/>
    <n v="82.55"/>
    <x v="1"/>
    <s v="Pass"/>
    <n v="10.56978233034571"/>
  </r>
  <r>
    <n v="240557"/>
    <x v="141"/>
    <x v="8"/>
    <x v="0"/>
    <n v="6.51"/>
    <n v="75.52"/>
    <x v="0"/>
    <s v="Pass"/>
    <n v="11.600614439324117"/>
  </r>
  <r>
    <n v="240558"/>
    <x v="142"/>
    <x v="8"/>
    <x v="0"/>
    <n v="8.11"/>
    <n v="83.82"/>
    <x v="1"/>
    <s v="Pass"/>
    <n v="10.335388409371147"/>
  </r>
  <r>
    <n v="240559"/>
    <x v="143"/>
    <x v="6"/>
    <x v="0"/>
    <n v="8.9499999999999993"/>
    <n v="85.15"/>
    <x v="1"/>
    <s v="Pass"/>
    <n v="9.5139664804469284"/>
  </r>
  <r>
    <n v="240560"/>
    <x v="144"/>
    <x v="6"/>
    <x v="0"/>
    <n v="7.99"/>
    <n v="82.75"/>
    <x v="1"/>
    <s v="Pass"/>
    <n v="10.356695869837296"/>
  </r>
  <r>
    <n v="240561"/>
    <x v="145"/>
    <x v="6"/>
    <x v="1"/>
    <n v="5.92"/>
    <n v="74.34"/>
    <x v="0"/>
    <s v="Pass"/>
    <n v="12.557432432432433"/>
  </r>
  <r>
    <n v="240562"/>
    <x v="146"/>
    <x v="6"/>
    <x v="1"/>
    <n v="8.3000000000000007"/>
    <n v="82.02"/>
    <x v="1"/>
    <s v="Pass"/>
    <n v="9.8819277108433727"/>
  </r>
  <r>
    <n v="240563"/>
    <x v="147"/>
    <x v="8"/>
    <x v="1"/>
    <n v="8.9700000000000006"/>
    <n v="86.12"/>
    <x v="1"/>
    <s v="Pass"/>
    <n v="9.6008918617614274"/>
  </r>
  <r>
    <n v="240564"/>
    <x v="148"/>
    <x v="0"/>
    <x v="1"/>
    <n v="5.39"/>
    <n v="71.87"/>
    <x v="0"/>
    <s v="Pass"/>
    <n v="13.333951762523192"/>
  </r>
  <r>
    <n v="240565"/>
    <x v="149"/>
    <x v="0"/>
    <x v="1"/>
    <n v="6.77"/>
    <n v="76.7"/>
    <x v="0"/>
    <s v="Pass"/>
    <n v="11.329394387001479"/>
  </r>
  <r>
    <n v="240566"/>
    <x v="150"/>
    <x v="11"/>
    <x v="1"/>
    <n v="8.08"/>
    <n v="81.7"/>
    <x v="1"/>
    <s v="Pass"/>
    <n v="10.111386138613861"/>
  </r>
  <r>
    <n v="240567"/>
    <x v="151"/>
    <x v="10"/>
    <x v="1"/>
    <n v="5.24"/>
    <n v="70.78"/>
    <x v="0"/>
    <s v="Pass"/>
    <n v="13.507633587786259"/>
  </r>
  <r>
    <n v="240568"/>
    <x v="152"/>
    <x v="10"/>
    <x v="1"/>
    <n v="6.93"/>
    <n v="78.45"/>
    <x v="0"/>
    <s v="Pass"/>
    <n v="11.320346320346321"/>
  </r>
  <r>
    <n v="240569"/>
    <x v="153"/>
    <x v="6"/>
    <x v="1"/>
    <n v="5.14"/>
    <n v="70.2"/>
    <x v="0"/>
    <s v="Pass"/>
    <n v="13.657587548638134"/>
  </r>
  <r>
    <n v="240570"/>
    <x v="154"/>
    <x v="9"/>
    <x v="1"/>
    <n v="8.39"/>
    <n v="83.37"/>
    <x v="1"/>
    <s v="Pass"/>
    <n v="9.9368295589988076"/>
  </r>
  <r>
    <n v="240571"/>
    <x v="155"/>
    <x v="9"/>
    <x v="5"/>
    <n v="6.18"/>
    <n v="75.52"/>
    <x v="0"/>
    <s v="Pass"/>
    <n v="12.220064724919094"/>
  </r>
  <r>
    <n v="240572"/>
    <x v="156"/>
    <x v="12"/>
    <x v="5"/>
    <n v="7.53"/>
    <n v="81.569999999999993"/>
    <x v="1"/>
    <s v="Pass"/>
    <n v="10.832669322709162"/>
  </r>
  <r>
    <n v="240573"/>
    <x v="157"/>
    <x v="12"/>
    <x v="5"/>
    <n v="7.86"/>
    <n v="80.72"/>
    <x v="1"/>
    <s v="Pass"/>
    <n v="10.26972010178117"/>
  </r>
  <r>
    <n v="240574"/>
    <x v="158"/>
    <x v="0"/>
    <x v="5"/>
    <n v="7.7"/>
    <n v="80.81"/>
    <x v="1"/>
    <s v="Pass"/>
    <n v="10.494805194805195"/>
  </r>
  <r>
    <n v="240575"/>
    <x v="159"/>
    <x v="0"/>
    <x v="5"/>
    <n v="7.3"/>
    <n v="79.489999999999995"/>
    <x v="0"/>
    <s v="Pass"/>
    <n v="10.889041095890411"/>
  </r>
  <r>
    <n v="240576"/>
    <x v="160"/>
    <x v="0"/>
    <x v="5"/>
    <n v="7.79"/>
    <n v="79.17"/>
    <x v="0"/>
    <s v="Pass"/>
    <n v="10.163029525032092"/>
  </r>
  <r>
    <n v="240577"/>
    <x v="161"/>
    <x v="0"/>
    <x v="5"/>
    <n v="6.75"/>
    <n v="77.069999999999993"/>
    <x v="0"/>
    <s v="Pass"/>
    <n v="11.417777777777777"/>
  </r>
  <r>
    <n v="240578"/>
    <x v="162"/>
    <x v="6"/>
    <x v="5"/>
    <n v="7.87"/>
    <n v="82.04"/>
    <x v="1"/>
    <s v="Pass"/>
    <n v="10.424396442185515"/>
  </r>
  <r>
    <n v="240579"/>
    <x v="163"/>
    <x v="6"/>
    <x v="5"/>
    <n v="5.38"/>
    <n v="71.94"/>
    <x v="0"/>
    <s v="Pass"/>
    <n v="13.37174721189591"/>
  </r>
  <r>
    <n v="240580"/>
    <x v="164"/>
    <x v="6"/>
    <x v="5"/>
    <n v="7.8"/>
    <n v="81.599999999999994"/>
    <x v="1"/>
    <s v="Pass"/>
    <n v="10.461538461538462"/>
  </r>
  <r>
    <n v="240581"/>
    <x v="165"/>
    <x v="0"/>
    <x v="5"/>
    <n v="5.07"/>
    <n v="70.790000000000006"/>
    <x v="0"/>
    <s v="Pass"/>
    <n v="13.962524654832347"/>
  </r>
  <r>
    <n v="240582"/>
    <x v="166"/>
    <x v="12"/>
    <x v="5"/>
    <n v="7.95"/>
    <n v="82.68"/>
    <x v="1"/>
    <s v="Pass"/>
    <n v="10.4"/>
  </r>
  <r>
    <n v="240583"/>
    <x v="167"/>
    <x v="13"/>
    <x v="8"/>
    <n v="8.35"/>
    <n v="83.08"/>
    <x v="1"/>
    <s v="Pass"/>
    <n v="9.9497005988023961"/>
  </r>
  <r>
    <n v="240584"/>
    <x v="168"/>
    <x v="0"/>
    <x v="8"/>
    <n v="5.19"/>
    <n v="71.180000000000007"/>
    <x v="0"/>
    <s v="Pass"/>
    <n v="13.714836223506744"/>
  </r>
  <r>
    <n v="240585"/>
    <x v="169"/>
    <x v="8"/>
    <x v="8"/>
    <n v="7.19"/>
    <n v="77.63"/>
    <x v="0"/>
    <s v="Pass"/>
    <n v="10.79694019471488"/>
  </r>
  <r>
    <n v="240586"/>
    <x v="170"/>
    <x v="8"/>
    <x v="8"/>
    <n v="7.35"/>
    <n v="77.78"/>
    <x v="0"/>
    <s v="Pass"/>
    <n v="10.582312925170068"/>
  </r>
  <r>
    <n v="240587"/>
    <x v="171"/>
    <x v="9"/>
    <x v="8"/>
    <n v="5.22"/>
    <n v="70.400000000000006"/>
    <x v="0"/>
    <s v="Pass"/>
    <n v="13.486590038314178"/>
  </r>
  <r>
    <n v="240588"/>
    <x v="172"/>
    <x v="6"/>
    <x v="8"/>
    <n v="5.39"/>
    <n v="73.02"/>
    <x v="0"/>
    <s v="Pass"/>
    <n v="13.547309833024119"/>
  </r>
  <r>
    <n v="240589"/>
    <x v="173"/>
    <x v="6"/>
    <x v="7"/>
    <n v="5.39"/>
    <n v="71.11"/>
    <x v="0"/>
    <s v="Pass"/>
    <n v="13.192949907235622"/>
  </r>
  <r>
    <n v="240590"/>
    <x v="174"/>
    <x v="6"/>
    <x v="7"/>
    <n v="8.93"/>
    <n v="85.96"/>
    <x v="1"/>
    <s v="Pass"/>
    <n v="9.6259798432250836"/>
  </r>
  <r>
    <n v="240591"/>
    <x v="116"/>
    <x v="11"/>
    <x v="7"/>
    <n v="5.79"/>
    <n v="73.64"/>
    <x v="0"/>
    <s v="Pass"/>
    <n v="12.718480138169257"/>
  </r>
  <r>
    <n v="240592"/>
    <x v="175"/>
    <x v="11"/>
    <x v="7"/>
    <n v="8.42"/>
    <n v="84.24"/>
    <x v="1"/>
    <s v="Pass"/>
    <n v="10.004750593824227"/>
  </r>
  <r>
    <n v="240593"/>
    <x v="176"/>
    <x v="11"/>
    <x v="4"/>
    <n v="7.26"/>
    <n v="78.17"/>
    <x v="0"/>
    <s v="Pass"/>
    <n v="10.767217630853995"/>
  </r>
  <r>
    <n v="240594"/>
    <x v="177"/>
    <x v="11"/>
    <x v="4"/>
    <n v="6.97"/>
    <n v="77.19"/>
    <x v="0"/>
    <s v="Pass"/>
    <n v="11.074605451936872"/>
  </r>
  <r>
    <n v="240595"/>
    <x v="178"/>
    <x v="8"/>
    <x v="4"/>
    <n v="5.55"/>
    <n v="71.83"/>
    <x v="0"/>
    <s v="Pass"/>
    <n v="12.942342342342343"/>
  </r>
  <r>
    <n v="240596"/>
    <x v="179"/>
    <x v="9"/>
    <x v="4"/>
    <n v="8.66"/>
    <n v="86.99"/>
    <x v="1"/>
    <s v="Pass"/>
    <n v="10.045034642032332"/>
  </r>
  <r>
    <n v="240597"/>
    <x v="180"/>
    <x v="6"/>
    <x v="4"/>
    <n v="8.61"/>
    <n v="83.87"/>
    <x v="1"/>
    <s v="Pass"/>
    <n v="9.7409988385598147"/>
  </r>
  <r>
    <n v="240598"/>
    <x v="181"/>
    <x v="6"/>
    <x v="4"/>
    <n v="5.22"/>
    <n v="71.5"/>
    <x v="0"/>
    <s v="Pass"/>
    <n v="13.697318007662837"/>
  </r>
  <r>
    <n v="240599"/>
    <x v="182"/>
    <x v="6"/>
    <x v="1"/>
    <n v="8.0500000000000007"/>
    <n v="79.63"/>
    <x v="0"/>
    <s v="Pass"/>
    <n v="9.8919254658385078"/>
  </r>
  <r>
    <n v="240600"/>
    <x v="183"/>
    <x v="6"/>
    <x v="1"/>
    <n v="8.8699999999999992"/>
    <n v="85.1"/>
    <x v="1"/>
    <s v="Pass"/>
    <n v="9.5941375422773394"/>
  </r>
  <r>
    <n v="240601"/>
    <x v="184"/>
    <x v="6"/>
    <x v="1"/>
    <n v="5.54"/>
    <n v="72.010000000000005"/>
    <x v="0"/>
    <s v="Pass"/>
    <n v="12.998194945848375"/>
  </r>
  <r>
    <n v="240602"/>
    <x v="185"/>
    <x v="8"/>
    <x v="1"/>
    <n v="6.9959487179487185"/>
    <n v="77.27"/>
    <x v="0"/>
    <s v="Pass"/>
    <n v="11.044963751915025"/>
  </r>
  <r>
    <n v="240603"/>
    <x v="186"/>
    <x v="8"/>
    <x v="1"/>
    <n v="7.26"/>
    <n v="79.87"/>
    <x v="0"/>
    <s v="Pass"/>
    <n v="11.00137741046832"/>
  </r>
  <r>
    <n v="240604"/>
    <x v="187"/>
    <x v="12"/>
    <x v="1"/>
    <n v="5.79"/>
    <n v="73.14"/>
    <x v="0"/>
    <s v="Pass"/>
    <n v="12.632124352331607"/>
  </r>
  <r>
    <n v="240605"/>
    <x v="188"/>
    <x v="10"/>
    <x v="1"/>
    <n v="5.22"/>
    <n v="70.510000000000005"/>
    <x v="0"/>
    <s v="Pass"/>
    <n v="13.507662835249043"/>
  </r>
  <r>
    <n v="240606"/>
    <x v="189"/>
    <x v="6"/>
    <x v="1"/>
    <n v="8.7100000000000009"/>
    <n v="84.03"/>
    <x v="1"/>
    <s v="Pass"/>
    <n v="9.6475315729047058"/>
  </r>
  <r>
    <n v="240607"/>
    <x v="190"/>
    <x v="6"/>
    <x v="1"/>
    <n v="7.55"/>
    <n v="79.64"/>
    <x v="0"/>
    <s v="Pass"/>
    <n v="10.548344370860928"/>
  </r>
  <r>
    <n v="240608"/>
    <x v="191"/>
    <x v="6"/>
    <x v="1"/>
    <n v="6.35"/>
    <n v="74.239999999999995"/>
    <x v="0"/>
    <s v="Pass"/>
    <n v="11.691338582677165"/>
  </r>
  <r>
    <n v="240609"/>
    <x v="192"/>
    <x v="6"/>
    <x v="8"/>
    <n v="7.53"/>
    <n v="81.67"/>
    <x v="1"/>
    <s v="Pass"/>
    <n v="10.845949535192563"/>
  </r>
  <r>
    <n v="240610"/>
    <x v="193"/>
    <x v="6"/>
    <x v="8"/>
    <n v="8.56"/>
    <n v="84.68"/>
    <x v="1"/>
    <s v="Pass"/>
    <n v="9.8925233644859816"/>
  </r>
  <r>
    <n v="240611"/>
    <x v="194"/>
    <x v="9"/>
    <x v="8"/>
    <n v="8.94"/>
    <n v="86.75"/>
    <x v="1"/>
    <s v="Pass"/>
    <n v="9.7035794183445194"/>
  </r>
  <r>
    <n v="240612"/>
    <x v="195"/>
    <x v="9"/>
    <x v="8"/>
    <n v="6.6"/>
    <n v="78.05"/>
    <x v="0"/>
    <s v="Pass"/>
    <n v="11.825757575757576"/>
  </r>
  <r>
    <n v="240613"/>
    <x v="196"/>
    <x v="12"/>
    <x v="8"/>
    <n v="8.35"/>
    <n v="83.5"/>
    <x v="1"/>
    <s v="Pass"/>
    <n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E1E59B-0971-425F-8D9A-8EE256B0D387}"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4:B44" firstHeaderRow="1" firstDataRow="1" firstDataCol="1"/>
  <pivotFields count="9">
    <pivotField showAll="0"/>
    <pivotField showAll="0">
      <items count="198">
        <item x="22"/>
        <item x="60"/>
        <item x="95"/>
        <item x="75"/>
        <item x="94"/>
        <item x="142"/>
        <item x="129"/>
        <item x="81"/>
        <item x="101"/>
        <item x="84"/>
        <item x="138"/>
        <item x="191"/>
        <item x="105"/>
        <item x="179"/>
        <item x="111"/>
        <item x="28"/>
        <item x="156"/>
        <item x="126"/>
        <item x="90"/>
        <item x="5"/>
        <item x="47"/>
        <item x="140"/>
        <item x="123"/>
        <item x="116"/>
        <item x="146"/>
        <item x="122"/>
        <item x="80"/>
        <item x="131"/>
        <item x="71"/>
        <item x="155"/>
        <item x="130"/>
        <item x="79"/>
        <item x="62"/>
        <item x="102"/>
        <item x="87"/>
        <item x="44"/>
        <item x="99"/>
        <item x="127"/>
        <item x="29"/>
        <item x="169"/>
        <item x="24"/>
        <item x="186"/>
        <item x="18"/>
        <item x="21"/>
        <item x="57"/>
        <item x="171"/>
        <item x="45"/>
        <item x="16"/>
        <item x="30"/>
        <item x="157"/>
        <item x="152"/>
        <item x="91"/>
        <item x="170"/>
        <item x="173"/>
        <item x="184"/>
        <item x="194"/>
        <item x="158"/>
        <item x="55"/>
        <item x="97"/>
        <item x="185"/>
        <item x="88"/>
        <item x="73"/>
        <item x="83"/>
        <item x="163"/>
        <item x="188"/>
        <item x="114"/>
        <item x="58"/>
        <item x="104"/>
        <item x="25"/>
        <item x="168"/>
        <item x="178"/>
        <item x="100"/>
        <item x="61"/>
        <item x="115"/>
        <item x="98"/>
        <item x="26"/>
        <item x="31"/>
        <item x="38"/>
        <item x="161"/>
        <item x="117"/>
        <item x="78"/>
        <item x="2"/>
        <item x="196"/>
        <item x="182"/>
        <item x="110"/>
        <item x="113"/>
        <item x="175"/>
        <item x="33"/>
        <item x="153"/>
        <item x="180"/>
        <item x="69"/>
        <item x="41"/>
        <item x="120"/>
        <item x="34"/>
        <item x="32"/>
        <item x="66"/>
        <item x="72"/>
        <item x="148"/>
        <item x="145"/>
        <item x="13"/>
        <item x="54"/>
        <item x="121"/>
        <item x="89"/>
        <item x="181"/>
        <item x="192"/>
        <item x="124"/>
        <item x="63"/>
        <item x="37"/>
        <item x="35"/>
        <item x="43"/>
        <item x="172"/>
        <item x="150"/>
        <item x="189"/>
        <item x="93"/>
        <item x="135"/>
        <item x="162"/>
        <item x="125"/>
        <item x="17"/>
        <item x="52"/>
        <item x="20"/>
        <item x="109"/>
        <item x="151"/>
        <item x="46"/>
        <item x="166"/>
        <item x="3"/>
        <item x="108"/>
        <item x="77"/>
        <item x="49"/>
        <item x="137"/>
        <item x="27"/>
        <item x="112"/>
        <item x="128"/>
        <item x="4"/>
        <item x="65"/>
        <item x="10"/>
        <item x="147"/>
        <item x="67"/>
        <item x="195"/>
        <item x="51"/>
        <item x="193"/>
        <item x="59"/>
        <item x="56"/>
        <item x="7"/>
        <item x="139"/>
        <item x="159"/>
        <item x="149"/>
        <item x="106"/>
        <item x="82"/>
        <item x="19"/>
        <item x="165"/>
        <item x="143"/>
        <item x="132"/>
        <item x="12"/>
        <item x="177"/>
        <item x="15"/>
        <item x="64"/>
        <item x="14"/>
        <item x="36"/>
        <item x="50"/>
        <item x="11"/>
        <item x="74"/>
        <item x="68"/>
        <item x="86"/>
        <item x="167"/>
        <item x="92"/>
        <item x="133"/>
        <item x="40"/>
        <item x="174"/>
        <item x="118"/>
        <item x="6"/>
        <item x="42"/>
        <item x="134"/>
        <item x="164"/>
        <item x="0"/>
        <item x="183"/>
        <item x="23"/>
        <item x="1"/>
        <item x="119"/>
        <item x="187"/>
        <item x="53"/>
        <item x="39"/>
        <item x="136"/>
        <item x="48"/>
        <item x="9"/>
        <item x="190"/>
        <item x="141"/>
        <item x="85"/>
        <item x="144"/>
        <item x="107"/>
        <item x="96"/>
        <item x="103"/>
        <item x="154"/>
        <item x="8"/>
        <item x="76"/>
        <item x="160"/>
        <item x="176"/>
        <item x="70"/>
        <item t="default"/>
      </items>
    </pivotField>
    <pivotField showAll="0">
      <items count="15">
        <item x="5"/>
        <item x="7"/>
        <item x="4"/>
        <item x="12"/>
        <item x="2"/>
        <item x="10"/>
        <item x="6"/>
        <item x="8"/>
        <item x="0"/>
        <item x="11"/>
        <item x="1"/>
        <item x="3"/>
        <item x="9"/>
        <item x="13"/>
        <item t="default"/>
      </items>
    </pivotField>
    <pivotField axis="axisRow" showAll="0">
      <items count="10">
        <item x="0"/>
        <item x="1"/>
        <item x="2"/>
        <item x="6"/>
        <item x="7"/>
        <item x="8"/>
        <item x="3"/>
        <item x="4"/>
        <item x="5"/>
        <item t="default"/>
      </items>
    </pivotField>
    <pivotField dataField="1" numFmtId="2" showAll="0"/>
    <pivotField showAll="0"/>
    <pivotField showAll="0">
      <items count="3">
        <item x="1"/>
        <item x="0"/>
        <item t="default"/>
      </items>
    </pivotField>
    <pivotField showAll="0"/>
    <pivotField numFmtId="2" showAll="0"/>
  </pivotFields>
  <rowFields count="1">
    <field x="3"/>
  </rowFields>
  <rowItems count="10">
    <i>
      <x/>
    </i>
    <i>
      <x v="1"/>
    </i>
    <i>
      <x v="2"/>
    </i>
    <i>
      <x v="3"/>
    </i>
    <i>
      <x v="4"/>
    </i>
    <i>
      <x v="5"/>
    </i>
    <i>
      <x v="6"/>
    </i>
    <i>
      <x v="7"/>
    </i>
    <i>
      <x v="8"/>
    </i>
    <i t="grand">
      <x/>
    </i>
  </rowItems>
  <colItems count="1">
    <i/>
  </colItems>
  <dataFields count="1">
    <dataField name="Average of Std_StudyHours" fld="4" subtotal="average" baseField="3" baseItem="0" numFmtId="2"/>
  </dataField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79C5D9-4629-4A4C-A68E-5B60BF6C587F}"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7:B30" firstHeaderRow="1" firstDataRow="1" firstDataCol="1"/>
  <pivotFields count="9">
    <pivotField showAll="0"/>
    <pivotField dataField="1" showAll="0">
      <items count="198">
        <item x="22"/>
        <item x="60"/>
        <item x="95"/>
        <item x="75"/>
        <item x="94"/>
        <item x="142"/>
        <item x="129"/>
        <item x="81"/>
        <item x="101"/>
        <item x="84"/>
        <item x="138"/>
        <item x="191"/>
        <item x="105"/>
        <item x="179"/>
        <item x="111"/>
        <item x="28"/>
        <item x="156"/>
        <item x="126"/>
        <item x="90"/>
        <item x="5"/>
        <item x="47"/>
        <item x="140"/>
        <item x="123"/>
        <item x="116"/>
        <item x="146"/>
        <item x="122"/>
        <item x="80"/>
        <item x="131"/>
        <item x="71"/>
        <item x="155"/>
        <item x="130"/>
        <item x="79"/>
        <item x="62"/>
        <item x="102"/>
        <item x="87"/>
        <item x="44"/>
        <item x="99"/>
        <item x="127"/>
        <item x="29"/>
        <item x="169"/>
        <item x="24"/>
        <item x="186"/>
        <item x="18"/>
        <item x="21"/>
        <item x="57"/>
        <item x="171"/>
        <item x="45"/>
        <item x="16"/>
        <item x="30"/>
        <item x="157"/>
        <item x="152"/>
        <item x="91"/>
        <item x="170"/>
        <item x="173"/>
        <item x="184"/>
        <item x="194"/>
        <item x="158"/>
        <item x="55"/>
        <item x="97"/>
        <item x="185"/>
        <item x="88"/>
        <item x="73"/>
        <item x="83"/>
        <item x="163"/>
        <item x="188"/>
        <item x="114"/>
        <item x="58"/>
        <item x="104"/>
        <item x="25"/>
        <item x="168"/>
        <item x="178"/>
        <item x="100"/>
        <item x="61"/>
        <item x="115"/>
        <item x="98"/>
        <item x="26"/>
        <item x="31"/>
        <item x="38"/>
        <item x="161"/>
        <item x="117"/>
        <item x="78"/>
        <item x="2"/>
        <item x="196"/>
        <item x="182"/>
        <item x="110"/>
        <item x="113"/>
        <item x="175"/>
        <item x="33"/>
        <item x="153"/>
        <item x="180"/>
        <item x="69"/>
        <item x="41"/>
        <item x="120"/>
        <item x="34"/>
        <item x="32"/>
        <item x="66"/>
        <item x="72"/>
        <item x="148"/>
        <item x="145"/>
        <item x="13"/>
        <item x="54"/>
        <item x="121"/>
        <item x="89"/>
        <item x="181"/>
        <item x="192"/>
        <item x="124"/>
        <item x="63"/>
        <item x="37"/>
        <item x="35"/>
        <item x="43"/>
        <item x="172"/>
        <item x="150"/>
        <item x="189"/>
        <item x="93"/>
        <item x="135"/>
        <item x="162"/>
        <item x="125"/>
        <item x="17"/>
        <item x="52"/>
        <item x="20"/>
        <item x="109"/>
        <item x="151"/>
        <item x="46"/>
        <item x="166"/>
        <item x="3"/>
        <item x="108"/>
        <item x="77"/>
        <item x="49"/>
        <item x="137"/>
        <item x="27"/>
        <item x="112"/>
        <item x="128"/>
        <item x="4"/>
        <item x="65"/>
        <item x="10"/>
        <item x="147"/>
        <item x="67"/>
        <item x="195"/>
        <item x="51"/>
        <item x="193"/>
        <item x="59"/>
        <item x="56"/>
        <item x="7"/>
        <item x="139"/>
        <item x="159"/>
        <item x="149"/>
        <item x="106"/>
        <item x="82"/>
        <item x="19"/>
        <item x="165"/>
        <item x="143"/>
        <item x="132"/>
        <item x="12"/>
        <item x="177"/>
        <item x="15"/>
        <item x="64"/>
        <item x="14"/>
        <item x="36"/>
        <item x="50"/>
        <item x="11"/>
        <item x="74"/>
        <item x="68"/>
        <item x="86"/>
        <item x="167"/>
        <item x="92"/>
        <item x="133"/>
        <item x="40"/>
        <item x="174"/>
        <item x="118"/>
        <item x="6"/>
        <item x="42"/>
        <item x="134"/>
        <item x="164"/>
        <item x="0"/>
        <item x="183"/>
        <item x="23"/>
        <item x="1"/>
        <item x="119"/>
        <item x="187"/>
        <item x="53"/>
        <item x="39"/>
        <item x="136"/>
        <item x="48"/>
        <item x="9"/>
        <item x="190"/>
        <item x="141"/>
        <item x="85"/>
        <item x="144"/>
        <item x="107"/>
        <item x="96"/>
        <item x="103"/>
        <item x="154"/>
        <item x="8"/>
        <item x="76"/>
        <item x="160"/>
        <item x="176"/>
        <item x="70"/>
        <item t="default"/>
      </items>
    </pivotField>
    <pivotField showAll="0">
      <items count="15">
        <item x="5"/>
        <item x="7"/>
        <item x="4"/>
        <item x="12"/>
        <item x="2"/>
        <item x="10"/>
        <item x="6"/>
        <item x="8"/>
        <item x="0"/>
        <item x="11"/>
        <item x="1"/>
        <item x="3"/>
        <item x="9"/>
        <item x="13"/>
        <item t="default"/>
      </items>
    </pivotField>
    <pivotField showAll="0">
      <items count="10">
        <item x="0"/>
        <item x="1"/>
        <item x="2"/>
        <item x="6"/>
        <item x="7"/>
        <item x="8"/>
        <item x="3"/>
        <item x="4"/>
        <item x="5"/>
        <item t="default"/>
      </items>
    </pivotField>
    <pivotField numFmtId="2" showAll="0"/>
    <pivotField showAll="0"/>
    <pivotField axis="axisRow" showAll="0">
      <items count="3">
        <item x="1"/>
        <item x="0"/>
        <item t="default"/>
      </items>
    </pivotField>
    <pivotField showAll="0"/>
    <pivotField numFmtId="2" showAll="0"/>
  </pivotFields>
  <rowFields count="1">
    <field x="6"/>
  </rowFields>
  <rowItems count="3">
    <i>
      <x/>
    </i>
    <i>
      <x v="1"/>
    </i>
    <i t="grand">
      <x/>
    </i>
  </rowItems>
  <colItems count="1">
    <i/>
  </colItems>
  <dataFields count="1">
    <dataField name="Count of Std_Name" fld="1" subtotal="count" baseField="6" baseItem="0"/>
  </dataFields>
  <chartFormats count="3">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6" count="1" selected="0">
            <x v="0"/>
          </reference>
        </references>
      </pivotArea>
    </chartFormat>
    <chartFormat chart="8" format="6">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FC33C0-5D54-40CF-B2D8-2D3234C92AE9}"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8:B23" firstHeaderRow="1" firstDataRow="1" firstDataCol="1"/>
  <pivotFields count="9">
    <pivotField showAll="0"/>
    <pivotField showAll="0">
      <items count="198">
        <item x="22"/>
        <item x="60"/>
        <item x="95"/>
        <item x="75"/>
        <item x="94"/>
        <item x="142"/>
        <item x="129"/>
        <item x="81"/>
        <item x="101"/>
        <item x="84"/>
        <item x="138"/>
        <item x="191"/>
        <item x="105"/>
        <item x="179"/>
        <item x="111"/>
        <item x="28"/>
        <item x="156"/>
        <item x="126"/>
        <item x="90"/>
        <item x="5"/>
        <item x="47"/>
        <item x="140"/>
        <item x="123"/>
        <item x="116"/>
        <item x="146"/>
        <item x="122"/>
        <item x="80"/>
        <item x="131"/>
        <item x="71"/>
        <item x="155"/>
        <item x="130"/>
        <item x="79"/>
        <item x="62"/>
        <item x="102"/>
        <item x="87"/>
        <item x="44"/>
        <item x="99"/>
        <item x="127"/>
        <item x="29"/>
        <item x="169"/>
        <item x="24"/>
        <item x="186"/>
        <item x="18"/>
        <item x="21"/>
        <item x="57"/>
        <item x="171"/>
        <item x="45"/>
        <item x="16"/>
        <item x="30"/>
        <item x="157"/>
        <item x="152"/>
        <item x="91"/>
        <item x="170"/>
        <item x="173"/>
        <item x="184"/>
        <item x="194"/>
        <item x="158"/>
        <item x="55"/>
        <item x="97"/>
        <item x="185"/>
        <item x="88"/>
        <item x="73"/>
        <item x="83"/>
        <item x="163"/>
        <item x="188"/>
        <item x="114"/>
        <item x="58"/>
        <item x="104"/>
        <item x="25"/>
        <item x="168"/>
        <item x="178"/>
        <item x="100"/>
        <item x="61"/>
        <item x="115"/>
        <item x="98"/>
        <item x="26"/>
        <item x="31"/>
        <item x="38"/>
        <item x="161"/>
        <item x="117"/>
        <item x="78"/>
        <item x="2"/>
        <item x="196"/>
        <item x="182"/>
        <item x="110"/>
        <item x="113"/>
        <item x="175"/>
        <item x="33"/>
        <item x="153"/>
        <item x="180"/>
        <item x="69"/>
        <item x="41"/>
        <item x="120"/>
        <item x="34"/>
        <item x="32"/>
        <item x="66"/>
        <item x="72"/>
        <item x="148"/>
        <item x="145"/>
        <item x="13"/>
        <item x="54"/>
        <item x="121"/>
        <item x="89"/>
        <item x="181"/>
        <item x="192"/>
        <item x="124"/>
        <item x="63"/>
        <item x="37"/>
        <item x="35"/>
        <item x="43"/>
        <item x="172"/>
        <item x="150"/>
        <item x="189"/>
        <item x="93"/>
        <item x="135"/>
        <item x="162"/>
        <item x="125"/>
        <item x="17"/>
        <item x="52"/>
        <item x="20"/>
        <item x="109"/>
        <item x="151"/>
        <item x="46"/>
        <item x="166"/>
        <item x="3"/>
        <item x="108"/>
        <item x="77"/>
        <item x="49"/>
        <item x="137"/>
        <item x="27"/>
        <item x="112"/>
        <item x="128"/>
        <item x="4"/>
        <item x="65"/>
        <item x="10"/>
        <item x="147"/>
        <item x="67"/>
        <item x="195"/>
        <item x="51"/>
        <item x="193"/>
        <item x="59"/>
        <item x="56"/>
        <item x="7"/>
        <item x="139"/>
        <item x="159"/>
        <item x="149"/>
        <item x="106"/>
        <item x="82"/>
        <item x="19"/>
        <item x="165"/>
        <item x="143"/>
        <item x="132"/>
        <item x="12"/>
        <item x="177"/>
        <item x="15"/>
        <item x="64"/>
        <item x="14"/>
        <item x="36"/>
        <item x="50"/>
        <item x="11"/>
        <item x="74"/>
        <item x="68"/>
        <item x="86"/>
        <item x="167"/>
        <item x="92"/>
        <item x="133"/>
        <item x="40"/>
        <item x="174"/>
        <item x="118"/>
        <item x="6"/>
        <item x="42"/>
        <item x="134"/>
        <item x="164"/>
        <item x="0"/>
        <item x="183"/>
        <item x="23"/>
        <item x="1"/>
        <item x="119"/>
        <item x="187"/>
        <item x="53"/>
        <item x="39"/>
        <item x="136"/>
        <item x="48"/>
        <item x="9"/>
        <item x="190"/>
        <item x="141"/>
        <item x="85"/>
        <item x="144"/>
        <item x="107"/>
        <item x="96"/>
        <item x="103"/>
        <item x="154"/>
        <item x="8"/>
        <item x="76"/>
        <item x="160"/>
        <item x="176"/>
        <item x="70"/>
        <item t="default"/>
      </items>
    </pivotField>
    <pivotField axis="axisRow" showAll="0">
      <items count="15">
        <item x="5"/>
        <item x="7"/>
        <item x="4"/>
        <item x="12"/>
        <item x="2"/>
        <item x="10"/>
        <item x="6"/>
        <item x="8"/>
        <item x="0"/>
        <item x="11"/>
        <item x="1"/>
        <item x="3"/>
        <item x="9"/>
        <item x="13"/>
        <item t="default"/>
      </items>
    </pivotField>
    <pivotField showAll="0">
      <items count="10">
        <item x="0"/>
        <item x="1"/>
        <item x="2"/>
        <item x="6"/>
        <item x="7"/>
        <item x="8"/>
        <item x="3"/>
        <item x="4"/>
        <item x="5"/>
        <item t="default"/>
      </items>
    </pivotField>
    <pivotField numFmtId="2" showAll="0"/>
    <pivotField dataField="1" showAll="0"/>
    <pivotField showAll="0">
      <items count="3">
        <item x="1"/>
        <item x="0"/>
        <item t="default"/>
      </items>
    </pivotField>
    <pivotField showAll="0"/>
    <pivotField numFmtId="2" showAll="0"/>
  </pivotFields>
  <rowFields count="1">
    <field x="2"/>
  </rowFields>
  <rowItems count="15">
    <i>
      <x/>
    </i>
    <i>
      <x v="1"/>
    </i>
    <i>
      <x v="2"/>
    </i>
    <i>
      <x v="3"/>
    </i>
    <i>
      <x v="4"/>
    </i>
    <i>
      <x v="5"/>
    </i>
    <i>
      <x v="6"/>
    </i>
    <i>
      <x v="7"/>
    </i>
    <i>
      <x v="8"/>
    </i>
    <i>
      <x v="9"/>
    </i>
    <i>
      <x v="10"/>
    </i>
    <i>
      <x v="11"/>
    </i>
    <i>
      <x v="12"/>
    </i>
    <i>
      <x v="13"/>
    </i>
    <i t="grand">
      <x/>
    </i>
  </rowItems>
  <colItems count="1">
    <i/>
  </colItems>
  <dataFields count="1">
    <dataField name="Average of Std_Marks" fld="5" subtotal="average" baseField="2" baseItem="0"/>
  </dataField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d_Name" xr10:uid="{E1079588-1C6C-4A41-9F52-9D3C3EF5695A}" sourceName="Std_Name">
  <pivotTables>
    <pivotTable tabId="2" name="PivotTable1"/>
    <pivotTable tabId="2" name="PivotTable2"/>
    <pivotTable tabId="2" name="PivotTable3"/>
  </pivotTables>
  <data>
    <tabular pivotCacheId="925416934">
      <items count="197">
        <i x="22" s="1"/>
        <i x="60" s="1"/>
        <i x="95" s="1"/>
        <i x="75" s="1"/>
        <i x="94" s="1"/>
        <i x="142" s="1"/>
        <i x="129" s="1"/>
        <i x="81" s="1"/>
        <i x="101" s="1"/>
        <i x="84" s="1"/>
        <i x="138" s="1"/>
        <i x="191" s="1"/>
        <i x="105" s="1"/>
        <i x="179" s="1"/>
        <i x="111" s="1"/>
        <i x="28" s="1"/>
        <i x="156" s="1"/>
        <i x="126" s="1"/>
        <i x="90" s="1"/>
        <i x="5" s="1"/>
        <i x="47" s="1"/>
        <i x="140" s="1"/>
        <i x="123" s="1"/>
        <i x="116" s="1"/>
        <i x="146" s="1"/>
        <i x="122" s="1"/>
        <i x="80" s="1"/>
        <i x="131" s="1"/>
        <i x="71" s="1"/>
        <i x="155" s="1"/>
        <i x="130" s="1"/>
        <i x="79" s="1"/>
        <i x="62" s="1"/>
        <i x="102" s="1"/>
        <i x="87" s="1"/>
        <i x="44" s="1"/>
        <i x="99" s="1"/>
        <i x="127" s="1"/>
        <i x="29" s="1"/>
        <i x="169" s="1"/>
        <i x="24" s="1"/>
        <i x="186" s="1"/>
        <i x="18" s="1"/>
        <i x="21" s="1"/>
        <i x="57" s="1"/>
        <i x="171" s="1"/>
        <i x="45" s="1"/>
        <i x="16" s="1"/>
        <i x="30" s="1"/>
        <i x="157" s="1"/>
        <i x="152" s="1"/>
        <i x="91" s="1"/>
        <i x="170" s="1"/>
        <i x="173" s="1"/>
        <i x="184" s="1"/>
        <i x="194" s="1"/>
        <i x="158" s="1"/>
        <i x="55" s="1"/>
        <i x="97" s="1"/>
        <i x="185" s="1"/>
        <i x="88" s="1"/>
        <i x="73" s="1"/>
        <i x="83" s="1"/>
        <i x="163" s="1"/>
        <i x="188" s="1"/>
        <i x="114" s="1"/>
        <i x="58" s="1"/>
        <i x="104" s="1"/>
        <i x="25" s="1"/>
        <i x="168" s="1"/>
        <i x="178" s="1"/>
        <i x="100" s="1"/>
        <i x="61" s="1"/>
        <i x="115" s="1"/>
        <i x="98" s="1"/>
        <i x="26" s="1"/>
        <i x="31" s="1"/>
        <i x="38" s="1"/>
        <i x="161" s="1"/>
        <i x="117" s="1"/>
        <i x="78" s="1"/>
        <i x="2" s="1"/>
        <i x="196" s="1"/>
        <i x="182" s="1"/>
        <i x="110" s="1"/>
        <i x="113" s="1"/>
        <i x="175" s="1"/>
        <i x="33" s="1"/>
        <i x="153" s="1"/>
        <i x="180" s="1"/>
        <i x="69" s="1"/>
        <i x="41" s="1"/>
        <i x="120" s="1"/>
        <i x="34" s="1"/>
        <i x="32" s="1"/>
        <i x="66" s="1"/>
        <i x="72" s="1"/>
        <i x="148" s="1"/>
        <i x="145" s="1"/>
        <i x="13" s="1"/>
        <i x="54" s="1"/>
        <i x="121" s="1"/>
        <i x="89" s="1"/>
        <i x="181" s="1"/>
        <i x="192" s="1"/>
        <i x="124" s="1"/>
        <i x="63" s="1"/>
        <i x="37" s="1"/>
        <i x="35" s="1"/>
        <i x="43" s="1"/>
        <i x="172" s="1"/>
        <i x="150" s="1"/>
        <i x="189" s="1"/>
        <i x="93" s="1"/>
        <i x="135" s="1"/>
        <i x="162" s="1"/>
        <i x="125" s="1"/>
        <i x="17" s="1"/>
        <i x="52" s="1"/>
        <i x="20" s="1"/>
        <i x="109" s="1"/>
        <i x="151" s="1"/>
        <i x="46" s="1"/>
        <i x="166" s="1"/>
        <i x="3" s="1"/>
        <i x="108" s="1"/>
        <i x="77" s="1"/>
        <i x="49" s="1"/>
        <i x="137" s="1"/>
        <i x="27" s="1"/>
        <i x="112" s="1"/>
        <i x="128" s="1"/>
        <i x="4" s="1"/>
        <i x="65" s="1"/>
        <i x="10" s="1"/>
        <i x="147" s="1"/>
        <i x="67" s="1"/>
        <i x="195" s="1"/>
        <i x="51" s="1"/>
        <i x="193" s="1"/>
        <i x="59" s="1"/>
        <i x="56" s="1"/>
        <i x="7" s="1"/>
        <i x="139" s="1"/>
        <i x="159" s="1"/>
        <i x="149" s="1"/>
        <i x="106" s="1"/>
        <i x="82" s="1"/>
        <i x="19" s="1"/>
        <i x="165" s="1"/>
        <i x="143" s="1"/>
        <i x="132" s="1"/>
        <i x="12" s="1"/>
        <i x="177" s="1"/>
        <i x="15" s="1"/>
        <i x="64" s="1"/>
        <i x="14" s="1"/>
        <i x="36" s="1"/>
        <i x="50" s="1"/>
        <i x="11" s="1"/>
        <i x="74" s="1"/>
        <i x="68" s="1"/>
        <i x="86" s="1"/>
        <i x="167" s="1"/>
        <i x="92" s="1"/>
        <i x="133" s="1"/>
        <i x="40" s="1"/>
        <i x="174" s="1"/>
        <i x="118" s="1"/>
        <i x="6" s="1"/>
        <i x="42" s="1"/>
        <i x="134" s="1"/>
        <i x="164" s="1"/>
        <i x="0" s="1"/>
        <i x="183" s="1"/>
        <i x="23" s="1"/>
        <i x="1" s="1"/>
        <i x="119" s="1"/>
        <i x="187" s="1"/>
        <i x="53" s="1"/>
        <i x="39" s="1"/>
        <i x="136" s="1"/>
        <i x="48" s="1"/>
        <i x="9" s="1"/>
        <i x="190" s="1"/>
        <i x="141" s="1"/>
        <i x="85" s="1"/>
        <i x="144" s="1"/>
        <i x="107" s="1"/>
        <i x="96" s="1"/>
        <i x="103" s="1"/>
        <i x="154" s="1"/>
        <i x="8" s="1"/>
        <i x="76" s="1"/>
        <i x="160" s="1"/>
        <i x="176" s="1"/>
        <i x="7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d_Branch" xr10:uid="{97007066-4E50-47F7-9BDB-116336C9B6F6}" sourceName="Std_Branch">
  <pivotTables>
    <pivotTable tabId="2" name="PivotTable1"/>
    <pivotTable tabId="2" name="PivotTable2"/>
    <pivotTable tabId="2" name="PivotTable3"/>
  </pivotTables>
  <data>
    <tabular pivotCacheId="925416934">
      <items count="14">
        <i x="5" s="1"/>
        <i x="7" s="1"/>
        <i x="4" s="1"/>
        <i x="12" s="1"/>
        <i x="2" s="1"/>
        <i x="10" s="1"/>
        <i x="6" s="1"/>
        <i x="8" s="1"/>
        <i x="0" s="1"/>
        <i x="11" s="1"/>
        <i x="1" s="1"/>
        <i x="3" s="1"/>
        <i x="9" s="1"/>
        <i x="1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d_Course" xr10:uid="{D9B3DD4A-EF09-45E1-B63C-46CD38FCB603}" sourceName="Std_Course">
  <pivotTables>
    <pivotTable tabId="2" name="PivotTable1"/>
    <pivotTable tabId="2" name="PivotTable2"/>
    <pivotTable tabId="2" name="PivotTable3"/>
  </pivotTables>
  <data>
    <tabular pivotCacheId="925416934">
      <items count="9">
        <i x="0" s="1"/>
        <i x="1" s="1"/>
        <i x="2" s="1"/>
        <i x="6" s="1"/>
        <i x="7" s="1"/>
        <i x="8" s="1"/>
        <i x="3" s="1"/>
        <i x="4"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Category" xr10:uid="{99DAC1E9-5549-4FF1-AE97-D8ED998D3AF7}" sourceName="Performance Category">
  <pivotTables>
    <pivotTable tabId="2" name="PivotTable1"/>
    <pivotTable tabId="2" name="PivotTable2"/>
    <pivotTable tabId="2" name="PivotTable3"/>
  </pivotTables>
  <data>
    <tabular pivotCacheId="92541693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d_Name" xr10:uid="{D7FA00BE-21E9-4921-A435-DE5F2D337BCC}" cache="Slicer_Std_Name" caption="Std_Name" columnCount="2" rowHeight="247650"/>
  <slicer name="Std_Branch" xr10:uid="{5D0F4627-3320-444B-ADEC-3A6F6CE3FAC7}" cache="Slicer_Std_Branch" caption="Std_Branch" columnCount="7" rowHeight="247650"/>
  <slicer name="Std_Course" xr10:uid="{A50A1659-7EF0-4619-8333-364457BCE277}" cache="Slicer_Std_Course" caption="Std_Course" columnCount="2" rowHeight="247650"/>
  <slicer name="Performance Category" xr10:uid="{363ECBE5-20FD-4B99-AC93-D6A4050275B2}" cache="Slicer_Performance_Category" caption="Performance Category" columnCount="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61270D-A681-4553-B8C5-75AF9622F067}" name="Table1" displayName="Table1" ref="A1:I201" totalsRowShown="0" dataDxfId="0">
  <autoFilter ref="A1:I201" xr:uid="{5161270D-A681-4553-B8C5-75AF9622F067}"/>
  <tableColumns count="9">
    <tableColumn id="1" xr3:uid="{02031D73-9ECD-4948-A42E-CF5EB8D83C47}" name="Std_RollNo" dataDxfId="9"/>
    <tableColumn id="2" xr3:uid="{C4905543-2510-43B6-B2FC-697521F81DAD}" name="Std_Name" dataDxfId="8"/>
    <tableColumn id="3" xr3:uid="{5D7977FE-5657-478B-9BF2-E8E4330F6AFD}" name="Std_Branch" dataDxfId="7"/>
    <tableColumn id="4" xr3:uid="{5B1618BE-5C14-4FC9-BB50-FE5B40C1B768}" name="Std_Course" dataDxfId="6"/>
    <tableColumn id="5" xr3:uid="{FCA5BA25-0FDD-4561-9A14-82494A67B7BD}" name="Study Hours" dataDxfId="5"/>
    <tableColumn id="6" xr3:uid="{EF09F2F9-B1F2-46E9-8F51-F8DC00904CE4}" name="Marks" dataDxfId="4"/>
    <tableColumn id="7" xr3:uid="{A6B66DCA-F485-4C62-9109-84850F2C32BD}" name="Performance Category" dataDxfId="3">
      <calculatedColumnFormula>IF(F2&gt;=80,"High",IF(F2&gt;=60,"Medium","Low"))</calculatedColumnFormula>
    </tableColumn>
    <tableColumn id="8" xr3:uid="{50B7B837-F1B9-43AC-83EB-ADF3178A21BB}" name="Pass/Fail" dataDxfId="2">
      <calculatedColumnFormula>IF(F2&gt;=40,"Pass","Fail")</calculatedColumnFormula>
    </tableColumn>
    <tableColumn id="9" xr3:uid="{3D7CF644-7710-48D1-A051-19C6473A299A}" name="Efficiency (StudyHours vs Marks)" dataDxfId="1">
      <calculatedColumnFormula>F2/E2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D5DDD-6101-45A8-8032-5D6BC26DCF58}">
  <dimension ref="A1:I201"/>
  <sheetViews>
    <sheetView topLeftCell="F2" zoomScale="50" workbookViewId="0">
      <selection activeCell="G5" sqref="G5"/>
    </sheetView>
  </sheetViews>
  <sheetFormatPr defaultRowHeight="14.4" x14ac:dyDescent="0.3"/>
  <cols>
    <col min="1" max="1" width="18.6640625" bestFit="1" customWidth="1"/>
    <col min="2" max="2" width="29.5546875" customWidth="1"/>
    <col min="3" max="3" width="19.44140625" customWidth="1"/>
    <col min="4" max="4" width="19.21875" bestFit="1" customWidth="1"/>
    <col min="5" max="5" width="24.5546875" style="1" bestFit="1" customWidth="1"/>
    <col min="6" max="6" width="17.77734375" bestFit="1" customWidth="1"/>
    <col min="7" max="7" width="32" bestFit="1" customWidth="1"/>
    <col min="8" max="8" width="16.33203125" bestFit="1" customWidth="1"/>
    <col min="9" max="9" width="43.88671875" bestFit="1" customWidth="1"/>
  </cols>
  <sheetData>
    <row r="1" spans="1:9" x14ac:dyDescent="0.3">
      <c r="A1" t="s">
        <v>0</v>
      </c>
      <c r="B1" t="s">
        <v>1</v>
      </c>
      <c r="C1" t="s">
        <v>2</v>
      </c>
      <c r="D1" t="s">
        <v>3</v>
      </c>
      <c r="E1" s="1" t="s">
        <v>240</v>
      </c>
      <c r="F1" t="s">
        <v>241</v>
      </c>
      <c r="G1" t="s">
        <v>223</v>
      </c>
      <c r="H1" t="s">
        <v>224</v>
      </c>
      <c r="I1" t="s">
        <v>225</v>
      </c>
    </row>
    <row r="2" spans="1:9" x14ac:dyDescent="0.3">
      <c r="A2" s="2">
        <v>240415</v>
      </c>
      <c r="B2" s="2" t="s">
        <v>4</v>
      </c>
      <c r="C2" s="2" t="s">
        <v>5</v>
      </c>
      <c r="D2" s="2" t="s">
        <v>6</v>
      </c>
      <c r="E2" s="3">
        <v>6.83</v>
      </c>
      <c r="F2" s="2">
        <v>78.5</v>
      </c>
      <c r="G2" s="2" t="str">
        <f t="shared" ref="G2:G33" si="0">IF(F2&gt;=80,"High",IF(F2&gt;=60,"Medium","Low"))</f>
        <v>Medium</v>
      </c>
      <c r="H2" s="3" t="str">
        <f t="shared" ref="H2:H33" si="1">IF(F2&gt;=40,"Pass","Fail")</f>
        <v>Pass</v>
      </c>
      <c r="I2" s="3">
        <f t="shared" ref="I2:I65" si="2">F2/E2</f>
        <v>11.493411420204978</v>
      </c>
    </row>
    <row r="3" spans="1:9" x14ac:dyDescent="0.3">
      <c r="A3" s="2">
        <v>240416</v>
      </c>
      <c r="B3" s="2" t="s">
        <v>7</v>
      </c>
      <c r="C3" s="2" t="s">
        <v>5</v>
      </c>
      <c r="D3" s="2" t="s">
        <v>6</v>
      </c>
      <c r="E3" s="3">
        <v>6.56</v>
      </c>
      <c r="F3" s="2">
        <v>76.739999999999995</v>
      </c>
      <c r="G3" s="2" t="str">
        <f t="shared" si="0"/>
        <v>Medium</v>
      </c>
      <c r="H3" s="3" t="str">
        <f t="shared" si="1"/>
        <v>Pass</v>
      </c>
      <c r="I3" s="3">
        <f t="shared" si="2"/>
        <v>11.698170731707316</v>
      </c>
    </row>
    <row r="4" spans="1:9" x14ac:dyDescent="0.3">
      <c r="A4" s="2">
        <v>240417</v>
      </c>
      <c r="B4" s="2" t="s">
        <v>8</v>
      </c>
      <c r="C4" s="2" t="s">
        <v>9</v>
      </c>
      <c r="D4" s="2" t="s">
        <v>6</v>
      </c>
      <c r="E4" s="3">
        <v>6.9959487179487185</v>
      </c>
      <c r="F4" s="2">
        <v>78.680000000000007</v>
      </c>
      <c r="G4" s="2" t="str">
        <f t="shared" si="0"/>
        <v>Medium</v>
      </c>
      <c r="H4" s="3" t="str">
        <f t="shared" si="1"/>
        <v>Pass</v>
      </c>
      <c r="I4" s="3">
        <f t="shared" si="2"/>
        <v>11.246508968560558</v>
      </c>
    </row>
    <row r="5" spans="1:9" x14ac:dyDescent="0.3">
      <c r="A5" s="2">
        <v>240418</v>
      </c>
      <c r="B5" s="2" t="s">
        <v>10</v>
      </c>
      <c r="C5" s="2" t="s">
        <v>9</v>
      </c>
      <c r="D5" s="2" t="s">
        <v>6</v>
      </c>
      <c r="E5" s="3">
        <v>5.67</v>
      </c>
      <c r="F5" s="2">
        <v>71.819999999999993</v>
      </c>
      <c r="G5" s="2" t="str">
        <f t="shared" si="0"/>
        <v>Medium</v>
      </c>
      <c r="H5" s="3" t="str">
        <f t="shared" si="1"/>
        <v>Pass</v>
      </c>
      <c r="I5" s="3">
        <f t="shared" si="2"/>
        <v>12.666666666666666</v>
      </c>
    </row>
    <row r="6" spans="1:9" x14ac:dyDescent="0.3">
      <c r="A6" s="2">
        <v>240419</v>
      </c>
      <c r="B6" s="2" t="s">
        <v>11</v>
      </c>
      <c r="C6" s="2" t="s">
        <v>9</v>
      </c>
      <c r="D6" s="2" t="s">
        <v>6</v>
      </c>
      <c r="E6" s="3">
        <v>8.67</v>
      </c>
      <c r="F6" s="2">
        <v>84.19</v>
      </c>
      <c r="G6" s="2" t="str">
        <f t="shared" si="0"/>
        <v>High</v>
      </c>
      <c r="H6" s="3" t="str">
        <f t="shared" si="1"/>
        <v>Pass</v>
      </c>
      <c r="I6" s="3">
        <f t="shared" si="2"/>
        <v>9.7104959630911178</v>
      </c>
    </row>
    <row r="7" spans="1:9" x14ac:dyDescent="0.3">
      <c r="A7" s="2">
        <v>240420</v>
      </c>
      <c r="B7" s="2" t="s">
        <v>12</v>
      </c>
      <c r="C7" s="2" t="s">
        <v>13</v>
      </c>
      <c r="D7" s="2" t="s">
        <v>6</v>
      </c>
      <c r="E7" s="3">
        <v>7.55</v>
      </c>
      <c r="F7" s="2">
        <v>81.180000000000007</v>
      </c>
      <c r="G7" s="2" t="str">
        <f t="shared" si="0"/>
        <v>High</v>
      </c>
      <c r="H7" s="3" t="str">
        <f t="shared" si="1"/>
        <v>Pass</v>
      </c>
      <c r="I7" s="3">
        <f t="shared" si="2"/>
        <v>10.752317880794703</v>
      </c>
    </row>
    <row r="8" spans="1:9" x14ac:dyDescent="0.3">
      <c r="A8" s="2">
        <v>240421</v>
      </c>
      <c r="B8" s="2" t="s">
        <v>14</v>
      </c>
      <c r="C8" s="2" t="s">
        <v>13</v>
      </c>
      <c r="D8" s="2" t="s">
        <v>6</v>
      </c>
      <c r="E8" s="3">
        <v>6.67</v>
      </c>
      <c r="F8" s="2">
        <v>76.989999999999995</v>
      </c>
      <c r="G8" s="2" t="str">
        <f t="shared" si="0"/>
        <v>Medium</v>
      </c>
      <c r="H8" s="3" t="str">
        <f t="shared" si="1"/>
        <v>Pass</v>
      </c>
      <c r="I8" s="3">
        <f t="shared" si="2"/>
        <v>11.542728635682158</v>
      </c>
    </row>
    <row r="9" spans="1:9" x14ac:dyDescent="0.3">
      <c r="A9" s="2">
        <v>240422</v>
      </c>
      <c r="B9" s="2" t="s">
        <v>15</v>
      </c>
      <c r="C9" s="2" t="s">
        <v>16</v>
      </c>
      <c r="D9" s="2" t="s">
        <v>6</v>
      </c>
      <c r="E9" s="3">
        <v>8.99</v>
      </c>
      <c r="F9" s="2">
        <v>85.46</v>
      </c>
      <c r="G9" s="2" t="str">
        <f t="shared" si="0"/>
        <v>High</v>
      </c>
      <c r="H9" s="3" t="str">
        <f t="shared" si="1"/>
        <v>Pass</v>
      </c>
      <c r="I9" s="3">
        <f t="shared" si="2"/>
        <v>9.5061179087875409</v>
      </c>
    </row>
    <row r="10" spans="1:9" x14ac:dyDescent="0.3">
      <c r="A10" s="2">
        <v>240423</v>
      </c>
      <c r="B10" s="2" t="s">
        <v>17</v>
      </c>
      <c r="C10" s="2" t="s">
        <v>16</v>
      </c>
      <c r="D10" s="2" t="s">
        <v>6</v>
      </c>
      <c r="E10" s="3">
        <v>5.19</v>
      </c>
      <c r="F10" s="2">
        <v>70.66</v>
      </c>
      <c r="G10" s="2" t="str">
        <f t="shared" si="0"/>
        <v>Medium</v>
      </c>
      <c r="H10" s="3" t="str">
        <f t="shared" si="1"/>
        <v>Pass</v>
      </c>
      <c r="I10" s="3">
        <f t="shared" si="2"/>
        <v>13.614643545279382</v>
      </c>
    </row>
    <row r="11" spans="1:9" x14ac:dyDescent="0.3">
      <c r="A11" s="2">
        <v>240424</v>
      </c>
      <c r="B11" s="2" t="s">
        <v>18</v>
      </c>
      <c r="C11" s="2" t="s">
        <v>19</v>
      </c>
      <c r="D11" s="2" t="s">
        <v>6</v>
      </c>
      <c r="E11" s="3">
        <v>6.75</v>
      </c>
      <c r="F11" s="2">
        <v>77.819999999999993</v>
      </c>
      <c r="G11" s="2" t="str">
        <f t="shared" si="0"/>
        <v>Medium</v>
      </c>
      <c r="H11" s="3" t="str">
        <f t="shared" si="1"/>
        <v>Pass</v>
      </c>
      <c r="I11" s="3">
        <f t="shared" si="2"/>
        <v>11.528888888888888</v>
      </c>
    </row>
    <row r="12" spans="1:9" x14ac:dyDescent="0.3">
      <c r="A12" s="2">
        <v>240425</v>
      </c>
      <c r="B12" s="2" t="s">
        <v>20</v>
      </c>
      <c r="C12" s="2" t="s">
        <v>19</v>
      </c>
      <c r="D12" s="2" t="s">
        <v>6</v>
      </c>
      <c r="E12" s="3">
        <v>6.59</v>
      </c>
      <c r="F12" s="2">
        <v>75.37</v>
      </c>
      <c r="G12" s="2" t="str">
        <f t="shared" si="0"/>
        <v>Medium</v>
      </c>
      <c r="H12" s="3" t="str">
        <f t="shared" si="1"/>
        <v>Pass</v>
      </c>
      <c r="I12" s="3">
        <f t="shared" si="2"/>
        <v>11.43702579666161</v>
      </c>
    </row>
    <row r="13" spans="1:9" x14ac:dyDescent="0.3">
      <c r="A13" s="2">
        <v>240426</v>
      </c>
      <c r="B13" s="2" t="s">
        <v>21</v>
      </c>
      <c r="C13" s="2" t="s">
        <v>19</v>
      </c>
      <c r="D13" s="2" t="s">
        <v>6</v>
      </c>
      <c r="E13" s="3">
        <v>8.56</v>
      </c>
      <c r="F13" s="2">
        <v>83.88</v>
      </c>
      <c r="G13" s="2" t="str">
        <f t="shared" si="0"/>
        <v>High</v>
      </c>
      <c r="H13" s="3" t="str">
        <f t="shared" si="1"/>
        <v>Pass</v>
      </c>
      <c r="I13" s="3">
        <f t="shared" si="2"/>
        <v>9.7990654205607459</v>
      </c>
    </row>
    <row r="14" spans="1:9" x14ac:dyDescent="0.3">
      <c r="A14" s="2">
        <v>240427</v>
      </c>
      <c r="B14" s="2" t="s">
        <v>22</v>
      </c>
      <c r="C14" s="2" t="s">
        <v>19</v>
      </c>
      <c r="D14" s="2" t="s">
        <v>6</v>
      </c>
      <c r="E14" s="3">
        <v>7.75</v>
      </c>
      <c r="F14" s="2">
        <v>79.5</v>
      </c>
      <c r="G14" s="2" t="str">
        <f t="shared" si="0"/>
        <v>Medium</v>
      </c>
      <c r="H14" s="3" t="str">
        <f t="shared" si="1"/>
        <v>Pass</v>
      </c>
      <c r="I14" s="3">
        <f t="shared" si="2"/>
        <v>10.258064516129032</v>
      </c>
    </row>
    <row r="15" spans="1:9" x14ac:dyDescent="0.3">
      <c r="A15" s="2">
        <v>240428</v>
      </c>
      <c r="B15" s="2" t="s">
        <v>23</v>
      </c>
      <c r="C15" s="2" t="s">
        <v>24</v>
      </c>
      <c r="D15" s="2" t="s">
        <v>6</v>
      </c>
      <c r="E15" s="3">
        <v>7.9</v>
      </c>
      <c r="F15" s="2">
        <v>80.760000000000005</v>
      </c>
      <c r="G15" s="2" t="str">
        <f t="shared" si="0"/>
        <v>High</v>
      </c>
      <c r="H15" s="3" t="str">
        <f t="shared" si="1"/>
        <v>Pass</v>
      </c>
      <c r="I15" s="3">
        <f t="shared" si="2"/>
        <v>10.222784810126582</v>
      </c>
    </row>
    <row r="16" spans="1:9" x14ac:dyDescent="0.3">
      <c r="A16" s="2">
        <v>240429</v>
      </c>
      <c r="B16" s="2" t="s">
        <v>25</v>
      </c>
      <c r="C16" s="2" t="s">
        <v>24</v>
      </c>
      <c r="D16" s="2" t="s">
        <v>6</v>
      </c>
      <c r="E16" s="3">
        <v>8.19</v>
      </c>
      <c r="F16" s="2">
        <v>83.08</v>
      </c>
      <c r="G16" s="2" t="str">
        <f t="shared" si="0"/>
        <v>High</v>
      </c>
      <c r="H16" s="3" t="str">
        <f t="shared" si="1"/>
        <v>Pass</v>
      </c>
      <c r="I16" s="3">
        <f t="shared" si="2"/>
        <v>10.144078144078145</v>
      </c>
    </row>
    <row r="17" spans="1:9" x14ac:dyDescent="0.3">
      <c r="A17" s="2">
        <v>240430</v>
      </c>
      <c r="B17" s="2" t="s">
        <v>26</v>
      </c>
      <c r="C17" s="2" t="s">
        <v>24</v>
      </c>
      <c r="D17" s="2" t="s">
        <v>6</v>
      </c>
      <c r="E17" s="3">
        <v>6.55</v>
      </c>
      <c r="F17" s="2">
        <v>76.03</v>
      </c>
      <c r="G17" s="2" t="str">
        <f t="shared" si="0"/>
        <v>Medium</v>
      </c>
      <c r="H17" s="3" t="str">
        <f t="shared" si="1"/>
        <v>Pass</v>
      </c>
      <c r="I17" s="3">
        <f t="shared" si="2"/>
        <v>11.60763358778626</v>
      </c>
    </row>
    <row r="18" spans="1:9" x14ac:dyDescent="0.3">
      <c r="A18" s="2">
        <v>240431</v>
      </c>
      <c r="B18" s="2" t="s">
        <v>27</v>
      </c>
      <c r="C18" s="2" t="s">
        <v>24</v>
      </c>
      <c r="D18" s="2" t="s">
        <v>6</v>
      </c>
      <c r="E18" s="3">
        <v>6.36</v>
      </c>
      <c r="F18" s="2">
        <v>76.040000000000006</v>
      </c>
      <c r="G18" s="2" t="str">
        <f t="shared" si="0"/>
        <v>Medium</v>
      </c>
      <c r="H18" s="3" t="str">
        <f t="shared" si="1"/>
        <v>Pass</v>
      </c>
      <c r="I18" s="3">
        <f t="shared" si="2"/>
        <v>11.955974842767295</v>
      </c>
    </row>
    <row r="19" spans="1:9" x14ac:dyDescent="0.3">
      <c r="A19" s="2">
        <v>240432</v>
      </c>
      <c r="B19" s="2" t="s">
        <v>28</v>
      </c>
      <c r="C19" s="2" t="s">
        <v>24</v>
      </c>
      <c r="D19" s="2" t="s">
        <v>29</v>
      </c>
      <c r="E19" s="3">
        <v>8.44</v>
      </c>
      <c r="F19" s="2">
        <v>85.11</v>
      </c>
      <c r="G19" s="2" t="str">
        <f t="shared" si="0"/>
        <v>High</v>
      </c>
      <c r="H19" s="3" t="str">
        <f t="shared" si="1"/>
        <v>Pass</v>
      </c>
      <c r="I19" s="3">
        <f t="shared" si="2"/>
        <v>10.084123222748815</v>
      </c>
    </row>
    <row r="20" spans="1:9" x14ac:dyDescent="0.3">
      <c r="A20" s="2">
        <v>240433</v>
      </c>
      <c r="B20" s="2" t="s">
        <v>30</v>
      </c>
      <c r="C20" s="2" t="s">
        <v>24</v>
      </c>
      <c r="D20" s="2" t="s">
        <v>29</v>
      </c>
      <c r="E20" s="3">
        <v>8.41</v>
      </c>
      <c r="F20" s="2">
        <v>82.5</v>
      </c>
      <c r="G20" s="2" t="str">
        <f t="shared" si="0"/>
        <v>High</v>
      </c>
      <c r="H20" s="3" t="str">
        <f t="shared" si="1"/>
        <v>Pass</v>
      </c>
      <c r="I20" s="3">
        <f t="shared" si="2"/>
        <v>9.8097502972651611</v>
      </c>
    </row>
    <row r="21" spans="1:9" x14ac:dyDescent="0.3">
      <c r="A21" s="2">
        <v>240434</v>
      </c>
      <c r="B21" s="2" t="s">
        <v>31</v>
      </c>
      <c r="C21" s="2" t="s">
        <v>24</v>
      </c>
      <c r="D21" s="2" t="s">
        <v>29</v>
      </c>
      <c r="E21" s="3">
        <v>7.67</v>
      </c>
      <c r="F21" s="2">
        <v>80.58</v>
      </c>
      <c r="G21" s="2" t="str">
        <f t="shared" si="0"/>
        <v>High</v>
      </c>
      <c r="H21" s="3" t="str">
        <f t="shared" si="1"/>
        <v>Pass</v>
      </c>
      <c r="I21" s="3">
        <f t="shared" si="2"/>
        <v>10.505867014341591</v>
      </c>
    </row>
    <row r="22" spans="1:9" x14ac:dyDescent="0.3">
      <c r="A22" s="2">
        <v>240435</v>
      </c>
      <c r="B22" s="2" t="s">
        <v>32</v>
      </c>
      <c r="C22" s="2" t="s">
        <v>24</v>
      </c>
      <c r="D22" s="2" t="s">
        <v>29</v>
      </c>
      <c r="E22" s="3">
        <v>7.42</v>
      </c>
      <c r="F22" s="2">
        <v>82.18</v>
      </c>
      <c r="G22" s="2" t="str">
        <f t="shared" si="0"/>
        <v>High</v>
      </c>
      <c r="H22" s="3" t="str">
        <f t="shared" si="1"/>
        <v>Pass</v>
      </c>
      <c r="I22" s="3">
        <f t="shared" si="2"/>
        <v>11.075471698113208</v>
      </c>
    </row>
    <row r="23" spans="1:9" x14ac:dyDescent="0.3">
      <c r="A23" s="2">
        <v>240436</v>
      </c>
      <c r="B23" s="2" t="s">
        <v>33</v>
      </c>
      <c r="C23" s="2" t="s">
        <v>34</v>
      </c>
      <c r="D23" s="2" t="s">
        <v>29</v>
      </c>
      <c r="E23" s="3">
        <v>8.16</v>
      </c>
      <c r="F23" s="2">
        <v>83.36</v>
      </c>
      <c r="G23" s="2" t="str">
        <f t="shared" si="0"/>
        <v>High</v>
      </c>
      <c r="H23" s="3" t="str">
        <f t="shared" si="1"/>
        <v>Pass</v>
      </c>
      <c r="I23" s="3">
        <f t="shared" si="2"/>
        <v>10.215686274509803</v>
      </c>
    </row>
    <row r="24" spans="1:9" x14ac:dyDescent="0.3">
      <c r="A24" s="2">
        <v>240437</v>
      </c>
      <c r="B24" s="2" t="s">
        <v>35</v>
      </c>
      <c r="C24" s="2" t="s">
        <v>13</v>
      </c>
      <c r="D24" s="2" t="s">
        <v>29</v>
      </c>
      <c r="E24" s="3">
        <v>5.05</v>
      </c>
      <c r="F24" s="2">
        <v>70.67</v>
      </c>
      <c r="G24" s="2" t="str">
        <f t="shared" si="0"/>
        <v>Medium</v>
      </c>
      <c r="H24" s="3" t="str">
        <f t="shared" si="1"/>
        <v>Pass</v>
      </c>
      <c r="I24" s="3">
        <f t="shared" si="2"/>
        <v>13.994059405940595</v>
      </c>
    </row>
    <row r="25" spans="1:9" x14ac:dyDescent="0.3">
      <c r="A25" s="2">
        <v>240438</v>
      </c>
      <c r="B25" s="2" t="s">
        <v>36</v>
      </c>
      <c r="C25" s="2" t="s">
        <v>13</v>
      </c>
      <c r="D25" s="2" t="s">
        <v>29</v>
      </c>
      <c r="E25" s="3">
        <v>5.85</v>
      </c>
      <c r="F25" s="2">
        <v>75.02</v>
      </c>
      <c r="G25" s="2" t="str">
        <f t="shared" si="0"/>
        <v>Medium</v>
      </c>
      <c r="H25" s="3" t="str">
        <f t="shared" si="1"/>
        <v>Pass</v>
      </c>
      <c r="I25" s="3">
        <f t="shared" si="2"/>
        <v>12.823931623931625</v>
      </c>
    </row>
    <row r="26" spans="1:9" x14ac:dyDescent="0.3">
      <c r="A26" s="2">
        <v>240439</v>
      </c>
      <c r="B26" s="2" t="s">
        <v>37</v>
      </c>
      <c r="C26" s="2" t="s">
        <v>13</v>
      </c>
      <c r="D26" s="2" t="s">
        <v>29</v>
      </c>
      <c r="E26" s="3">
        <v>5.45</v>
      </c>
      <c r="F26" s="2">
        <v>70.959999999999994</v>
      </c>
      <c r="G26" s="2" t="str">
        <f t="shared" si="0"/>
        <v>Medium</v>
      </c>
      <c r="H26" s="3" t="str">
        <f t="shared" si="1"/>
        <v>Pass</v>
      </c>
      <c r="I26" s="3">
        <f t="shared" si="2"/>
        <v>13.02018348623853</v>
      </c>
    </row>
    <row r="27" spans="1:9" x14ac:dyDescent="0.3">
      <c r="A27" s="2">
        <v>240440</v>
      </c>
      <c r="B27" s="2" t="s">
        <v>38</v>
      </c>
      <c r="C27" s="2" t="s">
        <v>13</v>
      </c>
      <c r="D27" s="2" t="s">
        <v>29</v>
      </c>
      <c r="E27" s="3">
        <v>7.96</v>
      </c>
      <c r="F27" s="2">
        <v>83.33</v>
      </c>
      <c r="G27" s="2" t="str">
        <f t="shared" si="0"/>
        <v>High</v>
      </c>
      <c r="H27" s="3" t="str">
        <f t="shared" si="1"/>
        <v>Pass</v>
      </c>
      <c r="I27" s="3">
        <f t="shared" si="2"/>
        <v>10.46859296482412</v>
      </c>
    </row>
    <row r="28" spans="1:9" x14ac:dyDescent="0.3">
      <c r="A28" s="2">
        <v>240441</v>
      </c>
      <c r="B28" s="2" t="s">
        <v>39</v>
      </c>
      <c r="C28" s="2" t="s">
        <v>5</v>
      </c>
      <c r="D28" s="2" t="s">
        <v>29</v>
      </c>
      <c r="E28" s="3">
        <v>6.51</v>
      </c>
      <c r="F28" s="2">
        <v>74.75</v>
      </c>
      <c r="G28" s="2" t="str">
        <f t="shared" si="0"/>
        <v>Medium</v>
      </c>
      <c r="H28" s="3" t="str">
        <f t="shared" si="1"/>
        <v>Pass</v>
      </c>
      <c r="I28" s="3">
        <f t="shared" si="2"/>
        <v>11.482334869431645</v>
      </c>
    </row>
    <row r="29" spans="1:9" x14ac:dyDescent="0.3">
      <c r="A29" s="2">
        <v>240442</v>
      </c>
      <c r="B29" s="2" t="s">
        <v>40</v>
      </c>
      <c r="C29" s="2" t="s">
        <v>5</v>
      </c>
      <c r="D29" s="2" t="s">
        <v>29</v>
      </c>
      <c r="E29" s="3">
        <v>6.73</v>
      </c>
      <c r="F29" s="2">
        <v>75.650000000000006</v>
      </c>
      <c r="G29" s="2" t="str">
        <f t="shared" si="0"/>
        <v>Medium</v>
      </c>
      <c r="H29" s="3" t="str">
        <f t="shared" si="1"/>
        <v>Pass</v>
      </c>
      <c r="I29" s="3">
        <f t="shared" si="2"/>
        <v>11.2407132243685</v>
      </c>
    </row>
    <row r="30" spans="1:9" x14ac:dyDescent="0.3">
      <c r="A30" s="2">
        <v>240443</v>
      </c>
      <c r="B30" s="2" t="s">
        <v>41</v>
      </c>
      <c r="C30" s="2" t="s">
        <v>5</v>
      </c>
      <c r="D30" s="2" t="s">
        <v>29</v>
      </c>
      <c r="E30" s="3">
        <v>5.94</v>
      </c>
      <c r="F30" s="2">
        <v>74.150000000000006</v>
      </c>
      <c r="G30" s="2" t="str">
        <f t="shared" si="0"/>
        <v>Medium</v>
      </c>
      <c r="H30" s="3" t="str">
        <f t="shared" si="1"/>
        <v>Pass</v>
      </c>
      <c r="I30" s="3">
        <f t="shared" si="2"/>
        <v>12.483164983164983</v>
      </c>
    </row>
    <row r="31" spans="1:9" x14ac:dyDescent="0.3">
      <c r="A31" s="2">
        <v>240444</v>
      </c>
      <c r="B31" s="2" t="s">
        <v>42</v>
      </c>
      <c r="C31" s="2" t="s">
        <v>43</v>
      </c>
      <c r="D31" s="2" t="s">
        <v>29</v>
      </c>
      <c r="E31" s="3">
        <v>7.48</v>
      </c>
      <c r="F31" s="2">
        <v>80.17</v>
      </c>
      <c r="G31" s="2" t="str">
        <f t="shared" si="0"/>
        <v>High</v>
      </c>
      <c r="H31" s="3" t="str">
        <f t="shared" si="1"/>
        <v>Pass</v>
      </c>
      <c r="I31" s="3">
        <f t="shared" si="2"/>
        <v>10.717914438502673</v>
      </c>
    </row>
    <row r="32" spans="1:9" x14ac:dyDescent="0.3">
      <c r="A32" s="2">
        <v>240445</v>
      </c>
      <c r="B32" s="2" t="s">
        <v>44</v>
      </c>
      <c r="C32" s="2" t="s">
        <v>43</v>
      </c>
      <c r="D32" s="2" t="s">
        <v>29</v>
      </c>
      <c r="E32" s="3">
        <v>8.1300000000000008</v>
      </c>
      <c r="F32" s="2">
        <v>82.27</v>
      </c>
      <c r="G32" s="2" t="str">
        <f t="shared" si="0"/>
        <v>High</v>
      </c>
      <c r="H32" s="3" t="str">
        <f t="shared" si="1"/>
        <v>Pass</v>
      </c>
      <c r="I32" s="3">
        <f t="shared" si="2"/>
        <v>10.11931119311193</v>
      </c>
    </row>
    <row r="33" spans="1:9" x14ac:dyDescent="0.3">
      <c r="A33" s="2">
        <v>240446</v>
      </c>
      <c r="B33" s="2" t="s">
        <v>45</v>
      </c>
      <c r="C33" s="2" t="s">
        <v>46</v>
      </c>
      <c r="D33" s="2" t="s">
        <v>47</v>
      </c>
      <c r="E33" s="3">
        <v>6.9959487179487185</v>
      </c>
      <c r="F33" s="2">
        <v>76.14</v>
      </c>
      <c r="G33" s="2" t="str">
        <f t="shared" si="0"/>
        <v>Medium</v>
      </c>
      <c r="H33" s="3" t="str">
        <f t="shared" si="1"/>
        <v>Pass</v>
      </c>
      <c r="I33" s="3">
        <f t="shared" si="2"/>
        <v>10.883441698858679</v>
      </c>
    </row>
    <row r="34" spans="1:9" x14ac:dyDescent="0.3">
      <c r="A34" s="2">
        <v>240447</v>
      </c>
      <c r="B34" s="2" t="s">
        <v>48</v>
      </c>
      <c r="C34" s="2" t="s">
        <v>46</v>
      </c>
      <c r="D34" s="2" t="s">
        <v>47</v>
      </c>
      <c r="E34" s="3">
        <v>5.4</v>
      </c>
      <c r="F34" s="2">
        <v>71.099999999999994</v>
      </c>
      <c r="G34" s="2" t="str">
        <f t="shared" ref="G34:G65" si="3">IF(F34&gt;=80,"High",IF(F34&gt;=60,"Medium","Low"))</f>
        <v>Medium</v>
      </c>
      <c r="H34" s="3" t="str">
        <f t="shared" ref="H34:H65" si="4">IF(F34&gt;=40,"Pass","Fail")</f>
        <v>Pass</v>
      </c>
      <c r="I34" s="3">
        <f t="shared" si="2"/>
        <v>13.166666666666664</v>
      </c>
    </row>
    <row r="35" spans="1:9" x14ac:dyDescent="0.3">
      <c r="A35" s="2">
        <v>240448</v>
      </c>
      <c r="B35" s="2" t="s">
        <v>49</v>
      </c>
      <c r="C35" s="2" t="s">
        <v>34</v>
      </c>
      <c r="D35" s="2" t="s">
        <v>47</v>
      </c>
      <c r="E35" s="3">
        <v>8.7799999999999994</v>
      </c>
      <c r="F35" s="2">
        <v>84.35</v>
      </c>
      <c r="G35" s="2" t="str">
        <f t="shared" si="3"/>
        <v>High</v>
      </c>
      <c r="H35" s="3" t="str">
        <f t="shared" si="4"/>
        <v>Pass</v>
      </c>
      <c r="I35" s="3">
        <f t="shared" si="2"/>
        <v>9.6070615034168565</v>
      </c>
    </row>
    <row r="36" spans="1:9" x14ac:dyDescent="0.3">
      <c r="A36" s="2">
        <v>240449</v>
      </c>
      <c r="B36" s="2" t="s">
        <v>50</v>
      </c>
      <c r="C36" s="2" t="s">
        <v>34</v>
      </c>
      <c r="D36" s="2" t="s">
        <v>47</v>
      </c>
      <c r="E36" s="3">
        <v>8.7200000000000006</v>
      </c>
      <c r="F36" s="2">
        <v>83.08</v>
      </c>
      <c r="G36" s="2" t="str">
        <f t="shared" si="3"/>
        <v>High</v>
      </c>
      <c r="H36" s="3" t="str">
        <f t="shared" si="4"/>
        <v>Pass</v>
      </c>
      <c r="I36" s="3">
        <f t="shared" si="2"/>
        <v>9.5275229357798157</v>
      </c>
    </row>
    <row r="37" spans="1:9" x14ac:dyDescent="0.3">
      <c r="A37" s="2">
        <v>240450</v>
      </c>
      <c r="B37" s="2" t="s">
        <v>51</v>
      </c>
      <c r="C37" s="2" t="s">
        <v>34</v>
      </c>
      <c r="D37" s="2" t="s">
        <v>47</v>
      </c>
      <c r="E37" s="3">
        <v>7.1</v>
      </c>
      <c r="F37" s="2">
        <v>76.760000000000005</v>
      </c>
      <c r="G37" s="2" t="str">
        <f t="shared" si="3"/>
        <v>Medium</v>
      </c>
      <c r="H37" s="3" t="str">
        <f t="shared" si="4"/>
        <v>Pass</v>
      </c>
      <c r="I37" s="3">
        <f t="shared" si="2"/>
        <v>10.811267605633804</v>
      </c>
    </row>
    <row r="38" spans="1:9" x14ac:dyDescent="0.3">
      <c r="A38" s="2">
        <v>240451</v>
      </c>
      <c r="B38" s="2" t="s">
        <v>52</v>
      </c>
      <c r="C38" s="2" t="s">
        <v>34</v>
      </c>
      <c r="D38" s="2" t="s">
        <v>47</v>
      </c>
      <c r="E38" s="3">
        <v>7.86</v>
      </c>
      <c r="F38" s="2">
        <v>81.239999999999995</v>
      </c>
      <c r="G38" s="2" t="str">
        <f t="shared" si="3"/>
        <v>High</v>
      </c>
      <c r="H38" s="3" t="str">
        <f t="shared" si="4"/>
        <v>Pass</v>
      </c>
      <c r="I38" s="3">
        <f t="shared" si="2"/>
        <v>10.335877862595419</v>
      </c>
    </row>
    <row r="39" spans="1:9" x14ac:dyDescent="0.3">
      <c r="A39" s="2">
        <v>240452</v>
      </c>
      <c r="B39" s="2" t="s">
        <v>53</v>
      </c>
      <c r="C39" s="2" t="s">
        <v>54</v>
      </c>
      <c r="D39" s="2" t="s">
        <v>47</v>
      </c>
      <c r="E39" s="3">
        <v>7.19</v>
      </c>
      <c r="F39" s="2">
        <v>78.209999999999994</v>
      </c>
      <c r="G39" s="2" t="str">
        <f t="shared" si="3"/>
        <v>Medium</v>
      </c>
      <c r="H39" s="3" t="str">
        <f t="shared" si="4"/>
        <v>Pass</v>
      </c>
      <c r="I39" s="3">
        <f t="shared" si="2"/>
        <v>10.87760778859527</v>
      </c>
    </row>
    <row r="40" spans="1:9" x14ac:dyDescent="0.3">
      <c r="A40" s="2">
        <v>240453</v>
      </c>
      <c r="B40" s="2" t="s">
        <v>55</v>
      </c>
      <c r="C40" s="2" t="s">
        <v>54</v>
      </c>
      <c r="D40" s="2" t="s">
        <v>47</v>
      </c>
      <c r="E40" s="3">
        <v>5.62</v>
      </c>
      <c r="F40" s="2">
        <v>73.08</v>
      </c>
      <c r="G40" s="2" t="str">
        <f t="shared" si="3"/>
        <v>Medium</v>
      </c>
      <c r="H40" s="3" t="str">
        <f t="shared" si="4"/>
        <v>Pass</v>
      </c>
      <c r="I40" s="3">
        <f t="shared" si="2"/>
        <v>13.003558718861209</v>
      </c>
    </row>
    <row r="41" spans="1:9" x14ac:dyDescent="0.3">
      <c r="A41" s="2">
        <v>240454</v>
      </c>
      <c r="B41" s="2" t="s">
        <v>56</v>
      </c>
      <c r="C41" s="2" t="s">
        <v>54</v>
      </c>
      <c r="D41" s="2" t="s">
        <v>47</v>
      </c>
      <c r="E41" s="3">
        <v>7.88</v>
      </c>
      <c r="F41" s="2">
        <v>83.23</v>
      </c>
      <c r="G41" s="2" t="str">
        <f t="shared" si="3"/>
        <v>High</v>
      </c>
      <c r="H41" s="3" t="str">
        <f t="shared" si="4"/>
        <v>Pass</v>
      </c>
      <c r="I41" s="3">
        <f t="shared" si="2"/>
        <v>10.562182741116752</v>
      </c>
    </row>
    <row r="42" spans="1:9" x14ac:dyDescent="0.3">
      <c r="A42" s="2">
        <v>240455</v>
      </c>
      <c r="B42" s="2" t="s">
        <v>57</v>
      </c>
      <c r="C42" s="2" t="s">
        <v>54</v>
      </c>
      <c r="D42" s="2" t="s">
        <v>47</v>
      </c>
      <c r="E42" s="3">
        <v>5.28</v>
      </c>
      <c r="F42" s="2">
        <v>70.27</v>
      </c>
      <c r="G42" s="2" t="str">
        <f t="shared" si="3"/>
        <v>Medium</v>
      </c>
      <c r="H42" s="3" t="str">
        <f t="shared" si="4"/>
        <v>Pass</v>
      </c>
      <c r="I42" s="3">
        <f t="shared" si="2"/>
        <v>13.308712121212119</v>
      </c>
    </row>
    <row r="43" spans="1:9" x14ac:dyDescent="0.3">
      <c r="A43" s="2">
        <v>240456</v>
      </c>
      <c r="B43" s="2" t="s">
        <v>58</v>
      </c>
      <c r="C43" s="2" t="s">
        <v>59</v>
      </c>
      <c r="D43" s="2" t="s">
        <v>47</v>
      </c>
      <c r="E43" s="3">
        <v>8.92</v>
      </c>
      <c r="F43" s="2">
        <v>86.41</v>
      </c>
      <c r="G43" s="2" t="str">
        <f t="shared" si="3"/>
        <v>High</v>
      </c>
      <c r="H43" s="3" t="str">
        <f t="shared" si="4"/>
        <v>Pass</v>
      </c>
      <c r="I43" s="3">
        <f t="shared" si="2"/>
        <v>9.6872197309417043</v>
      </c>
    </row>
    <row r="44" spans="1:9" x14ac:dyDescent="0.3">
      <c r="A44" s="2">
        <v>240457</v>
      </c>
      <c r="B44" s="2" t="s">
        <v>60</v>
      </c>
      <c r="C44" s="2" t="s">
        <v>59</v>
      </c>
      <c r="D44" s="2" t="s">
        <v>47</v>
      </c>
      <c r="E44" s="3">
        <v>5.46</v>
      </c>
      <c r="F44" s="2">
        <v>71.099999999999994</v>
      </c>
      <c r="G44" s="2" t="str">
        <f t="shared" si="3"/>
        <v>Medium</v>
      </c>
      <c r="H44" s="3" t="str">
        <f t="shared" si="4"/>
        <v>Pass</v>
      </c>
      <c r="I44" s="3">
        <f t="shared" si="2"/>
        <v>13.021978021978022</v>
      </c>
    </row>
    <row r="45" spans="1:9" x14ac:dyDescent="0.3">
      <c r="A45" s="2">
        <v>240458</v>
      </c>
      <c r="B45" s="2" t="s">
        <v>61</v>
      </c>
      <c r="C45" s="2" t="s">
        <v>59</v>
      </c>
      <c r="D45" s="2" t="s">
        <v>47</v>
      </c>
      <c r="E45" s="3">
        <v>8.3000000000000007</v>
      </c>
      <c r="F45" s="2">
        <v>82.84</v>
      </c>
      <c r="G45" s="2" t="str">
        <f t="shared" si="3"/>
        <v>High</v>
      </c>
      <c r="H45" s="3" t="str">
        <f t="shared" si="4"/>
        <v>Pass</v>
      </c>
      <c r="I45" s="3">
        <f t="shared" si="2"/>
        <v>9.9807228915662645</v>
      </c>
    </row>
    <row r="46" spans="1:9" x14ac:dyDescent="0.3">
      <c r="A46" s="2">
        <v>240459</v>
      </c>
      <c r="B46" s="2" t="s">
        <v>62</v>
      </c>
      <c r="C46" s="2" t="s">
        <v>63</v>
      </c>
      <c r="D46" s="2" t="s">
        <v>47</v>
      </c>
      <c r="E46" s="3">
        <v>8.09</v>
      </c>
      <c r="F46" s="2">
        <v>82.38</v>
      </c>
      <c r="G46" s="2" t="str">
        <f t="shared" si="3"/>
        <v>High</v>
      </c>
      <c r="H46" s="3" t="str">
        <f t="shared" si="4"/>
        <v>Pass</v>
      </c>
      <c r="I46" s="3">
        <f t="shared" si="2"/>
        <v>10.182941903584672</v>
      </c>
    </row>
    <row r="47" spans="1:9" x14ac:dyDescent="0.3">
      <c r="A47" s="2">
        <v>240460</v>
      </c>
      <c r="B47" s="2" t="s">
        <v>64</v>
      </c>
      <c r="C47" s="2" t="s">
        <v>54</v>
      </c>
      <c r="D47" s="2" t="s">
        <v>65</v>
      </c>
      <c r="E47" s="3">
        <v>6.18</v>
      </c>
      <c r="F47" s="2">
        <v>72.959999999999994</v>
      </c>
      <c r="G47" s="2" t="str">
        <f t="shared" si="3"/>
        <v>Medium</v>
      </c>
      <c r="H47" s="3" t="str">
        <f t="shared" si="4"/>
        <v>Pass</v>
      </c>
      <c r="I47" s="3">
        <f t="shared" si="2"/>
        <v>11.805825242718447</v>
      </c>
    </row>
    <row r="48" spans="1:9" x14ac:dyDescent="0.3">
      <c r="A48" s="2">
        <v>240461</v>
      </c>
      <c r="B48" s="2" t="s">
        <v>66</v>
      </c>
      <c r="C48" s="2" t="s">
        <v>46</v>
      </c>
      <c r="D48" s="2" t="s">
        <v>65</v>
      </c>
      <c r="E48" s="3">
        <v>7.01</v>
      </c>
      <c r="F48" s="2">
        <v>77.459999999999994</v>
      </c>
      <c r="G48" s="2" t="str">
        <f t="shared" si="3"/>
        <v>Medium</v>
      </c>
      <c r="H48" s="3" t="str">
        <f t="shared" si="4"/>
        <v>Pass</v>
      </c>
      <c r="I48" s="3">
        <f t="shared" si="2"/>
        <v>11.049928673323823</v>
      </c>
    </row>
    <row r="49" spans="1:9" x14ac:dyDescent="0.3">
      <c r="A49" s="2">
        <v>240462</v>
      </c>
      <c r="B49" s="2" t="s">
        <v>67</v>
      </c>
      <c r="C49" s="2" t="s">
        <v>46</v>
      </c>
      <c r="D49" s="2" t="s">
        <v>65</v>
      </c>
      <c r="E49" s="3">
        <v>5.01</v>
      </c>
      <c r="F49" s="2">
        <v>70.11</v>
      </c>
      <c r="G49" s="2" t="str">
        <f t="shared" si="3"/>
        <v>Medium</v>
      </c>
      <c r="H49" s="3" t="str">
        <f t="shared" si="4"/>
        <v>Pass</v>
      </c>
      <c r="I49" s="3">
        <f t="shared" si="2"/>
        <v>13.994011976047904</v>
      </c>
    </row>
    <row r="50" spans="1:9" x14ac:dyDescent="0.3">
      <c r="A50" s="2">
        <v>240463</v>
      </c>
      <c r="B50" s="2" t="s">
        <v>68</v>
      </c>
      <c r="C50" s="2" t="s">
        <v>59</v>
      </c>
      <c r="D50" s="2" t="s">
        <v>65</v>
      </c>
      <c r="E50" s="3">
        <v>5.54</v>
      </c>
      <c r="F50" s="2">
        <v>72.38</v>
      </c>
      <c r="G50" s="2" t="str">
        <f t="shared" si="3"/>
        <v>Medium</v>
      </c>
      <c r="H50" s="3" t="str">
        <f t="shared" si="4"/>
        <v>Pass</v>
      </c>
      <c r="I50" s="3">
        <f t="shared" si="2"/>
        <v>13.064981949458483</v>
      </c>
    </row>
    <row r="51" spans="1:9" x14ac:dyDescent="0.3">
      <c r="A51" s="2">
        <v>240464</v>
      </c>
      <c r="B51" s="2" t="s">
        <v>69</v>
      </c>
      <c r="C51" s="2" t="s">
        <v>59</v>
      </c>
      <c r="D51" s="2" t="s">
        <v>65</v>
      </c>
      <c r="E51" s="3">
        <v>5.09</v>
      </c>
      <c r="F51" s="2">
        <v>71.41</v>
      </c>
      <c r="G51" s="2" t="str">
        <f t="shared" si="3"/>
        <v>Medium</v>
      </c>
      <c r="H51" s="3" t="str">
        <f t="shared" si="4"/>
        <v>Pass</v>
      </c>
      <c r="I51" s="3">
        <f t="shared" si="2"/>
        <v>14.029469548133594</v>
      </c>
    </row>
    <row r="52" spans="1:9" x14ac:dyDescent="0.3">
      <c r="A52" s="2">
        <v>240465</v>
      </c>
      <c r="B52" s="2" t="s">
        <v>70</v>
      </c>
      <c r="C52" s="2" t="s">
        <v>59</v>
      </c>
      <c r="D52" s="2" t="s">
        <v>65</v>
      </c>
      <c r="E52" s="3">
        <v>5.09</v>
      </c>
      <c r="F52" s="2">
        <v>72.22</v>
      </c>
      <c r="G52" s="2" t="str">
        <f t="shared" si="3"/>
        <v>Medium</v>
      </c>
      <c r="H52" s="3" t="str">
        <f t="shared" si="4"/>
        <v>Pass</v>
      </c>
      <c r="I52" s="3">
        <f t="shared" si="2"/>
        <v>14.188605108055009</v>
      </c>
    </row>
    <row r="53" spans="1:9" x14ac:dyDescent="0.3">
      <c r="A53" s="2">
        <v>240466</v>
      </c>
      <c r="B53" s="2" t="s">
        <v>71</v>
      </c>
      <c r="C53" s="2" t="s">
        <v>59</v>
      </c>
      <c r="D53" s="2" t="s">
        <v>65</v>
      </c>
      <c r="E53" s="3">
        <v>7.31</v>
      </c>
      <c r="F53" s="2">
        <v>77.77</v>
      </c>
      <c r="G53" s="2" t="str">
        <f t="shared" si="3"/>
        <v>Medium</v>
      </c>
      <c r="H53" s="3" t="str">
        <f t="shared" si="4"/>
        <v>Pass</v>
      </c>
      <c r="I53" s="3">
        <f t="shared" si="2"/>
        <v>10.638850889192886</v>
      </c>
    </row>
    <row r="54" spans="1:9" x14ac:dyDescent="0.3">
      <c r="A54" s="2">
        <v>240467</v>
      </c>
      <c r="B54" s="2" t="s">
        <v>72</v>
      </c>
      <c r="C54" s="2" t="s">
        <v>34</v>
      </c>
      <c r="D54" s="2" t="s">
        <v>65</v>
      </c>
      <c r="E54" s="3">
        <v>8.7100000000000009</v>
      </c>
      <c r="F54" s="2">
        <v>84.44</v>
      </c>
      <c r="G54" s="2" t="str">
        <f t="shared" si="3"/>
        <v>High</v>
      </c>
      <c r="H54" s="3" t="str">
        <f t="shared" si="4"/>
        <v>Pass</v>
      </c>
      <c r="I54" s="3">
        <f t="shared" si="2"/>
        <v>9.6946039035591269</v>
      </c>
    </row>
    <row r="55" spans="1:9" x14ac:dyDescent="0.3">
      <c r="A55" s="2">
        <v>240468</v>
      </c>
      <c r="B55" s="2" t="s">
        <v>73</v>
      </c>
      <c r="C55" s="2" t="s">
        <v>34</v>
      </c>
      <c r="D55" s="2" t="s">
        <v>65</v>
      </c>
      <c r="E55" s="3">
        <v>5.52</v>
      </c>
      <c r="F55" s="2">
        <v>71.45</v>
      </c>
      <c r="G55" s="2" t="str">
        <f t="shared" si="3"/>
        <v>Medium</v>
      </c>
      <c r="H55" s="3" t="str">
        <f t="shared" si="4"/>
        <v>Pass</v>
      </c>
      <c r="I55" s="3">
        <f t="shared" si="2"/>
        <v>12.943840579710146</v>
      </c>
    </row>
    <row r="56" spans="1:9" x14ac:dyDescent="0.3">
      <c r="A56" s="2">
        <v>240469</v>
      </c>
      <c r="B56" s="2" t="s">
        <v>74</v>
      </c>
      <c r="C56" s="2" t="s">
        <v>34</v>
      </c>
      <c r="D56" s="2" t="s">
        <v>65</v>
      </c>
      <c r="E56" s="3">
        <v>8.76</v>
      </c>
      <c r="F56" s="2">
        <v>82.21</v>
      </c>
      <c r="G56" s="2" t="str">
        <f t="shared" si="3"/>
        <v>High</v>
      </c>
      <c r="H56" s="3" t="str">
        <f t="shared" si="4"/>
        <v>Pass</v>
      </c>
      <c r="I56" s="3">
        <f t="shared" si="2"/>
        <v>9.3847031963470311</v>
      </c>
    </row>
    <row r="57" spans="1:9" x14ac:dyDescent="0.3">
      <c r="A57" s="2">
        <v>240470</v>
      </c>
      <c r="B57" s="2" t="s">
        <v>75</v>
      </c>
      <c r="C57" s="2" t="s">
        <v>34</v>
      </c>
      <c r="D57" s="2" t="s">
        <v>65</v>
      </c>
      <c r="E57" s="3">
        <v>8.69</v>
      </c>
      <c r="F57" s="2">
        <v>85.48</v>
      </c>
      <c r="G57" s="2" t="str">
        <f t="shared" si="3"/>
        <v>High</v>
      </c>
      <c r="H57" s="3" t="str">
        <f t="shared" si="4"/>
        <v>Pass</v>
      </c>
      <c r="I57" s="3">
        <f t="shared" si="2"/>
        <v>9.8365937859608756</v>
      </c>
    </row>
    <row r="58" spans="1:9" x14ac:dyDescent="0.3">
      <c r="A58" s="2">
        <v>240471</v>
      </c>
      <c r="B58" s="2" t="s">
        <v>76</v>
      </c>
      <c r="C58" s="2" t="s">
        <v>34</v>
      </c>
      <c r="D58" s="2" t="s">
        <v>65</v>
      </c>
      <c r="E58" s="3">
        <v>5.75</v>
      </c>
      <c r="F58" s="2">
        <v>75.03</v>
      </c>
      <c r="G58" s="2" t="str">
        <f t="shared" si="3"/>
        <v>Medium</v>
      </c>
      <c r="H58" s="3" t="str">
        <f t="shared" si="4"/>
        <v>Pass</v>
      </c>
      <c r="I58" s="3">
        <f t="shared" si="2"/>
        <v>13.048695652173913</v>
      </c>
    </row>
    <row r="59" spans="1:9" x14ac:dyDescent="0.3">
      <c r="A59" s="2">
        <v>240472</v>
      </c>
      <c r="B59" s="2" t="s">
        <v>77</v>
      </c>
      <c r="C59" s="2" t="s">
        <v>78</v>
      </c>
      <c r="D59" s="2" t="s">
        <v>65</v>
      </c>
      <c r="E59" s="3">
        <v>8.93</v>
      </c>
      <c r="F59" s="2">
        <v>86.65</v>
      </c>
      <c r="G59" s="2" t="str">
        <f t="shared" si="3"/>
        <v>High</v>
      </c>
      <c r="H59" s="3" t="str">
        <f t="shared" si="4"/>
        <v>Pass</v>
      </c>
      <c r="I59" s="3">
        <f t="shared" si="2"/>
        <v>9.703247480403137</v>
      </c>
    </row>
    <row r="60" spans="1:9" x14ac:dyDescent="0.3">
      <c r="A60" s="2">
        <v>240473</v>
      </c>
      <c r="B60" s="2" t="s">
        <v>79</v>
      </c>
      <c r="C60" s="2" t="s">
        <v>78</v>
      </c>
      <c r="D60" s="2" t="s">
        <v>65</v>
      </c>
      <c r="E60" s="3">
        <v>5.39</v>
      </c>
      <c r="F60" s="2">
        <v>70.900000000000006</v>
      </c>
      <c r="G60" s="2" t="str">
        <f t="shared" si="3"/>
        <v>Medium</v>
      </c>
      <c r="H60" s="3" t="str">
        <f t="shared" si="4"/>
        <v>Pass</v>
      </c>
      <c r="I60" s="3">
        <f t="shared" si="2"/>
        <v>13.153988868274585</v>
      </c>
    </row>
    <row r="61" spans="1:9" x14ac:dyDescent="0.3">
      <c r="A61" s="2">
        <v>240474</v>
      </c>
      <c r="B61" s="2" t="s">
        <v>80</v>
      </c>
      <c r="C61" s="2" t="s">
        <v>54</v>
      </c>
      <c r="D61" s="2" t="s">
        <v>81</v>
      </c>
      <c r="E61" s="3">
        <v>5.65</v>
      </c>
      <c r="F61" s="2">
        <v>71.7</v>
      </c>
      <c r="G61" s="2" t="str">
        <f t="shared" si="3"/>
        <v>Medium</v>
      </c>
      <c r="H61" s="3" t="str">
        <f t="shared" si="4"/>
        <v>Pass</v>
      </c>
      <c r="I61" s="3">
        <f t="shared" si="2"/>
        <v>12.690265486725663</v>
      </c>
    </row>
    <row r="62" spans="1:9" x14ac:dyDescent="0.3">
      <c r="A62" s="2">
        <v>240475</v>
      </c>
      <c r="B62" s="2" t="s">
        <v>82</v>
      </c>
      <c r="C62" s="2" t="s">
        <v>54</v>
      </c>
      <c r="D62" s="2" t="s">
        <v>81</v>
      </c>
      <c r="E62" s="3">
        <v>5.49</v>
      </c>
      <c r="F62" s="2">
        <v>73.61</v>
      </c>
      <c r="G62" s="2" t="str">
        <f t="shared" si="3"/>
        <v>Medium</v>
      </c>
      <c r="H62" s="3" t="str">
        <f t="shared" si="4"/>
        <v>Pass</v>
      </c>
      <c r="I62" s="3">
        <f t="shared" si="2"/>
        <v>13.408014571948998</v>
      </c>
    </row>
    <row r="63" spans="1:9" x14ac:dyDescent="0.3">
      <c r="A63" s="2">
        <v>240476</v>
      </c>
      <c r="B63" s="2" t="s">
        <v>83</v>
      </c>
      <c r="C63" s="2" t="s">
        <v>59</v>
      </c>
      <c r="D63" s="2" t="s">
        <v>81</v>
      </c>
      <c r="E63" s="3">
        <v>7.26</v>
      </c>
      <c r="F63" s="2">
        <v>79.41</v>
      </c>
      <c r="G63" s="2" t="str">
        <f t="shared" si="3"/>
        <v>Medium</v>
      </c>
      <c r="H63" s="3" t="str">
        <f t="shared" si="4"/>
        <v>Pass</v>
      </c>
      <c r="I63" s="3">
        <f t="shared" si="2"/>
        <v>10.938016528925619</v>
      </c>
    </row>
    <row r="64" spans="1:9" x14ac:dyDescent="0.3">
      <c r="A64" s="2">
        <v>240477</v>
      </c>
      <c r="B64" s="2" t="s">
        <v>84</v>
      </c>
      <c r="C64" s="2" t="s">
        <v>59</v>
      </c>
      <c r="D64" s="2" t="s">
        <v>81</v>
      </c>
      <c r="E64" s="3">
        <v>6.35</v>
      </c>
      <c r="F64" s="2">
        <v>76.19</v>
      </c>
      <c r="G64" s="2" t="str">
        <f t="shared" si="3"/>
        <v>Medium</v>
      </c>
      <c r="H64" s="3" t="str">
        <f t="shared" si="4"/>
        <v>Pass</v>
      </c>
      <c r="I64" s="3">
        <f t="shared" si="2"/>
        <v>11.998425196850395</v>
      </c>
    </row>
    <row r="65" spans="1:9" x14ac:dyDescent="0.3">
      <c r="A65" s="2">
        <v>240478</v>
      </c>
      <c r="B65" s="2" t="s">
        <v>85</v>
      </c>
      <c r="C65" s="2" t="s">
        <v>59</v>
      </c>
      <c r="D65" s="2" t="s">
        <v>81</v>
      </c>
      <c r="E65" s="3">
        <v>7.72</v>
      </c>
      <c r="F65" s="2">
        <v>80.430000000000007</v>
      </c>
      <c r="G65" s="2" t="str">
        <f t="shared" si="3"/>
        <v>High</v>
      </c>
      <c r="H65" s="3" t="str">
        <f t="shared" si="4"/>
        <v>Pass</v>
      </c>
      <c r="I65" s="3">
        <f t="shared" si="2"/>
        <v>10.41839378238342</v>
      </c>
    </row>
    <row r="66" spans="1:9" x14ac:dyDescent="0.3">
      <c r="A66" s="2">
        <v>240479</v>
      </c>
      <c r="B66" s="2" t="s">
        <v>86</v>
      </c>
      <c r="C66" s="2" t="s">
        <v>59</v>
      </c>
      <c r="D66" s="2" t="s">
        <v>81</v>
      </c>
      <c r="E66" s="3">
        <v>8.8800000000000008</v>
      </c>
      <c r="F66" s="2">
        <v>85.78</v>
      </c>
      <c r="G66" s="2" t="str">
        <f t="shared" ref="G66:G97" si="5">IF(F66&gt;=80,"High",IF(F66&gt;=60,"Medium","Low"))</f>
        <v>High</v>
      </c>
      <c r="H66" s="3" t="str">
        <f t="shared" ref="H66:H97" si="6">IF(F66&gt;=40,"Pass","Fail")</f>
        <v>Pass</v>
      </c>
      <c r="I66" s="3">
        <f t="shared" ref="I66:I129" si="7">F66/E66</f>
        <v>9.6599099099099099</v>
      </c>
    </row>
    <row r="67" spans="1:9" x14ac:dyDescent="0.3">
      <c r="A67" s="2">
        <v>240480</v>
      </c>
      <c r="B67" s="2" t="s">
        <v>87</v>
      </c>
      <c r="C67" s="2" t="s">
        <v>34</v>
      </c>
      <c r="D67" s="2" t="s">
        <v>81</v>
      </c>
      <c r="E67" s="3">
        <v>5.45</v>
      </c>
      <c r="F67" s="2">
        <v>70.06</v>
      </c>
      <c r="G67" s="2" t="str">
        <f t="shared" si="5"/>
        <v>Medium</v>
      </c>
      <c r="H67" s="3" t="str">
        <f t="shared" si="6"/>
        <v>Pass</v>
      </c>
      <c r="I67" s="3">
        <f t="shared" si="7"/>
        <v>12.855045871559634</v>
      </c>
    </row>
    <row r="68" spans="1:9" x14ac:dyDescent="0.3">
      <c r="A68" s="2">
        <v>240481</v>
      </c>
      <c r="B68" s="2" t="s">
        <v>84</v>
      </c>
      <c r="C68" s="2" t="s">
        <v>34</v>
      </c>
      <c r="D68" s="2" t="s">
        <v>81</v>
      </c>
      <c r="E68" s="3">
        <v>7.86</v>
      </c>
      <c r="F68" s="2">
        <v>81.25</v>
      </c>
      <c r="G68" s="2" t="str">
        <f t="shared" si="5"/>
        <v>High</v>
      </c>
      <c r="H68" s="3" t="str">
        <f t="shared" si="6"/>
        <v>Pass</v>
      </c>
      <c r="I68" s="3">
        <f t="shared" si="7"/>
        <v>10.337150127226463</v>
      </c>
    </row>
    <row r="69" spans="1:9" x14ac:dyDescent="0.3">
      <c r="A69" s="2">
        <v>240482</v>
      </c>
      <c r="B69" s="2" t="s">
        <v>88</v>
      </c>
      <c r="C69" s="2" t="s">
        <v>78</v>
      </c>
      <c r="D69" s="2" t="s">
        <v>81</v>
      </c>
      <c r="E69" s="3">
        <v>8.26</v>
      </c>
      <c r="F69" s="2">
        <v>81.7</v>
      </c>
      <c r="G69" s="2" t="str">
        <f t="shared" si="5"/>
        <v>High</v>
      </c>
      <c r="H69" s="3" t="str">
        <f t="shared" si="6"/>
        <v>Pass</v>
      </c>
      <c r="I69" s="3">
        <f t="shared" si="7"/>
        <v>9.8910411622276033</v>
      </c>
    </row>
    <row r="70" spans="1:9" x14ac:dyDescent="0.3">
      <c r="A70" s="2">
        <v>240483</v>
      </c>
      <c r="B70" s="2" t="s">
        <v>89</v>
      </c>
      <c r="C70" s="2" t="s">
        <v>34</v>
      </c>
      <c r="D70" s="2" t="s">
        <v>90</v>
      </c>
      <c r="E70" s="3">
        <v>5.07</v>
      </c>
      <c r="F70" s="2">
        <v>69.27</v>
      </c>
      <c r="G70" s="2" t="str">
        <f t="shared" si="5"/>
        <v>Medium</v>
      </c>
      <c r="H70" s="3" t="str">
        <f t="shared" si="6"/>
        <v>Pass</v>
      </c>
      <c r="I70" s="3">
        <f t="shared" si="7"/>
        <v>13.662721893491122</v>
      </c>
    </row>
    <row r="71" spans="1:9" x14ac:dyDescent="0.3">
      <c r="A71" s="2">
        <v>240484</v>
      </c>
      <c r="B71" s="2" t="s">
        <v>91</v>
      </c>
      <c r="C71" s="2" t="s">
        <v>34</v>
      </c>
      <c r="D71" s="2" t="s">
        <v>90</v>
      </c>
      <c r="E71" s="3">
        <v>8.25</v>
      </c>
      <c r="F71" s="2">
        <v>82.79</v>
      </c>
      <c r="G71" s="2" t="str">
        <f t="shared" si="5"/>
        <v>High</v>
      </c>
      <c r="H71" s="3" t="str">
        <f t="shared" si="6"/>
        <v>Pass</v>
      </c>
      <c r="I71" s="3">
        <f t="shared" si="7"/>
        <v>10.035151515151515</v>
      </c>
    </row>
    <row r="72" spans="1:9" x14ac:dyDescent="0.3">
      <c r="A72" s="2">
        <v>240485</v>
      </c>
      <c r="B72" s="2" t="s">
        <v>92</v>
      </c>
      <c r="C72" s="2" t="s">
        <v>63</v>
      </c>
      <c r="D72" s="2" t="s">
        <v>90</v>
      </c>
      <c r="E72" s="3">
        <v>5.37</v>
      </c>
      <c r="F72" s="2">
        <v>71.8</v>
      </c>
      <c r="G72" s="2" t="str">
        <f t="shared" si="5"/>
        <v>Medium</v>
      </c>
      <c r="H72" s="3" t="str">
        <f t="shared" si="6"/>
        <v>Pass</v>
      </c>
      <c r="I72" s="3">
        <f t="shared" si="7"/>
        <v>13.370577281191805</v>
      </c>
    </row>
    <row r="73" spans="1:9" x14ac:dyDescent="0.3">
      <c r="A73" s="2">
        <v>240486</v>
      </c>
      <c r="B73" s="2" t="s">
        <v>93</v>
      </c>
      <c r="C73" s="2" t="s">
        <v>63</v>
      </c>
      <c r="D73" s="2" t="s">
        <v>90</v>
      </c>
      <c r="E73" s="3">
        <v>5.1100000000000003</v>
      </c>
      <c r="F73" s="2">
        <v>71.790000000000006</v>
      </c>
      <c r="G73" s="2" t="str">
        <f t="shared" si="5"/>
        <v>Medium</v>
      </c>
      <c r="H73" s="3" t="str">
        <f t="shared" si="6"/>
        <v>Pass</v>
      </c>
      <c r="I73" s="3">
        <f t="shared" si="7"/>
        <v>14.048923679060666</v>
      </c>
    </row>
    <row r="74" spans="1:9" x14ac:dyDescent="0.3">
      <c r="A74" s="2">
        <v>240487</v>
      </c>
      <c r="B74" s="2" t="s">
        <v>94</v>
      </c>
      <c r="C74" s="2" t="s">
        <v>54</v>
      </c>
      <c r="D74" s="2" t="s">
        <v>90</v>
      </c>
      <c r="E74" s="3">
        <v>6.35</v>
      </c>
      <c r="F74" s="2">
        <v>74.97</v>
      </c>
      <c r="G74" s="2" t="str">
        <f t="shared" si="5"/>
        <v>Medium</v>
      </c>
      <c r="H74" s="3" t="str">
        <f t="shared" si="6"/>
        <v>Pass</v>
      </c>
      <c r="I74" s="3">
        <f t="shared" si="7"/>
        <v>11.806299212598425</v>
      </c>
    </row>
    <row r="75" spans="1:9" x14ac:dyDescent="0.3">
      <c r="A75" s="2">
        <v>240488</v>
      </c>
      <c r="B75" s="2" t="s">
        <v>95</v>
      </c>
      <c r="C75" s="2" t="s">
        <v>54</v>
      </c>
      <c r="D75" s="2" t="s">
        <v>90</v>
      </c>
      <c r="E75" s="3">
        <v>7.41</v>
      </c>
      <c r="F75" s="2">
        <v>78.61</v>
      </c>
      <c r="G75" s="2" t="str">
        <f t="shared" si="5"/>
        <v>Medium</v>
      </c>
      <c r="H75" s="3" t="str">
        <f t="shared" si="6"/>
        <v>Pass</v>
      </c>
      <c r="I75" s="3">
        <f t="shared" si="7"/>
        <v>10.60863697705803</v>
      </c>
    </row>
    <row r="76" spans="1:9" x14ac:dyDescent="0.3">
      <c r="A76" s="2">
        <v>240489</v>
      </c>
      <c r="B76" s="2" t="s">
        <v>96</v>
      </c>
      <c r="C76" s="2" t="s">
        <v>59</v>
      </c>
      <c r="D76" s="2" t="s">
        <v>90</v>
      </c>
      <c r="E76" s="3">
        <v>7.31</v>
      </c>
      <c r="F76" s="2">
        <v>77.59</v>
      </c>
      <c r="G76" s="2" t="str">
        <f t="shared" si="5"/>
        <v>Medium</v>
      </c>
      <c r="H76" s="3" t="str">
        <f t="shared" si="6"/>
        <v>Pass</v>
      </c>
      <c r="I76" s="3">
        <f t="shared" si="7"/>
        <v>10.614227086183311</v>
      </c>
    </row>
    <row r="77" spans="1:9" x14ac:dyDescent="0.3">
      <c r="A77" s="2">
        <v>240490</v>
      </c>
      <c r="B77" s="2" t="s">
        <v>97</v>
      </c>
      <c r="C77" s="2" t="s">
        <v>59</v>
      </c>
      <c r="D77" s="2" t="s">
        <v>90</v>
      </c>
      <c r="E77" s="3">
        <v>6.04</v>
      </c>
      <c r="F77" s="2">
        <v>72.33</v>
      </c>
      <c r="G77" s="2" t="str">
        <f t="shared" si="5"/>
        <v>Medium</v>
      </c>
      <c r="H77" s="3" t="str">
        <f t="shared" si="6"/>
        <v>Pass</v>
      </c>
      <c r="I77" s="3">
        <f t="shared" si="7"/>
        <v>11.975165562913906</v>
      </c>
    </row>
    <row r="78" spans="1:9" x14ac:dyDescent="0.3">
      <c r="A78" s="2">
        <v>240491</v>
      </c>
      <c r="B78" s="2" t="s">
        <v>98</v>
      </c>
      <c r="C78" s="2" t="s">
        <v>46</v>
      </c>
      <c r="D78" s="2" t="s">
        <v>90</v>
      </c>
      <c r="E78" s="3">
        <v>5.1100000000000003</v>
      </c>
      <c r="F78" s="2">
        <v>72.08</v>
      </c>
      <c r="G78" s="2" t="str">
        <f t="shared" si="5"/>
        <v>Medium</v>
      </c>
      <c r="H78" s="3" t="str">
        <f t="shared" si="6"/>
        <v>Pass</v>
      </c>
      <c r="I78" s="3">
        <f t="shared" si="7"/>
        <v>14.105675146771036</v>
      </c>
    </row>
    <row r="79" spans="1:9" x14ac:dyDescent="0.3">
      <c r="A79" s="2">
        <v>240492</v>
      </c>
      <c r="B79" s="2" t="s">
        <v>99</v>
      </c>
      <c r="C79" s="2" t="s">
        <v>46</v>
      </c>
      <c r="D79" s="2" t="s">
        <v>90</v>
      </c>
      <c r="E79" s="3">
        <v>6.56</v>
      </c>
      <c r="F79" s="2">
        <v>77.33</v>
      </c>
      <c r="G79" s="2" t="str">
        <f t="shared" si="5"/>
        <v>Medium</v>
      </c>
      <c r="H79" s="3" t="str">
        <f t="shared" si="6"/>
        <v>Pass</v>
      </c>
      <c r="I79" s="3">
        <f t="shared" si="7"/>
        <v>11.788109756097562</v>
      </c>
    </row>
    <row r="80" spans="1:9" x14ac:dyDescent="0.3">
      <c r="A80" s="2">
        <v>240493</v>
      </c>
      <c r="B80" s="2" t="s">
        <v>100</v>
      </c>
      <c r="C80" s="2" t="s">
        <v>46</v>
      </c>
      <c r="D80" s="2" t="s">
        <v>90</v>
      </c>
      <c r="E80" s="3">
        <v>5.09</v>
      </c>
      <c r="F80" s="2">
        <v>70.05</v>
      </c>
      <c r="G80" s="2" t="str">
        <f t="shared" si="5"/>
        <v>Medium</v>
      </c>
      <c r="H80" s="3" t="str">
        <f t="shared" si="6"/>
        <v>Pass</v>
      </c>
      <c r="I80" s="3">
        <f t="shared" si="7"/>
        <v>13.762278978388998</v>
      </c>
    </row>
    <row r="81" spans="1:9" x14ac:dyDescent="0.3">
      <c r="A81" s="2">
        <v>240494</v>
      </c>
      <c r="B81" s="2" t="s">
        <v>101</v>
      </c>
      <c r="C81" s="2" t="s">
        <v>78</v>
      </c>
      <c r="D81" s="2" t="s">
        <v>90</v>
      </c>
      <c r="E81" s="3">
        <v>5.88</v>
      </c>
      <c r="F81" s="2">
        <v>73.34</v>
      </c>
      <c r="G81" s="2" t="str">
        <f t="shared" si="5"/>
        <v>Medium</v>
      </c>
      <c r="H81" s="3" t="str">
        <f t="shared" si="6"/>
        <v>Pass</v>
      </c>
      <c r="I81" s="3">
        <f t="shared" si="7"/>
        <v>12.472789115646259</v>
      </c>
    </row>
    <row r="82" spans="1:9" x14ac:dyDescent="0.3">
      <c r="A82" s="2">
        <v>240495</v>
      </c>
      <c r="B82" s="2" t="s">
        <v>102</v>
      </c>
      <c r="C82" s="2" t="s">
        <v>78</v>
      </c>
      <c r="D82" s="2" t="s">
        <v>90</v>
      </c>
      <c r="E82" s="3">
        <v>8.34</v>
      </c>
      <c r="F82" s="2">
        <v>84</v>
      </c>
      <c r="G82" s="2" t="str">
        <f t="shared" si="5"/>
        <v>High</v>
      </c>
      <c r="H82" s="3" t="str">
        <f t="shared" si="6"/>
        <v>Pass</v>
      </c>
      <c r="I82" s="3">
        <f t="shared" si="7"/>
        <v>10.071942446043165</v>
      </c>
    </row>
    <row r="83" spans="1:9" x14ac:dyDescent="0.3">
      <c r="A83" s="2">
        <v>240496</v>
      </c>
      <c r="B83" s="2" t="s">
        <v>103</v>
      </c>
      <c r="C83" s="2" t="s">
        <v>34</v>
      </c>
      <c r="D83" s="2" t="s">
        <v>104</v>
      </c>
      <c r="E83" s="3">
        <v>7.94</v>
      </c>
      <c r="F83" s="2">
        <v>82.93</v>
      </c>
      <c r="G83" s="2" t="str">
        <f t="shared" si="5"/>
        <v>High</v>
      </c>
      <c r="H83" s="3" t="str">
        <f t="shared" si="6"/>
        <v>Pass</v>
      </c>
      <c r="I83" s="3">
        <f t="shared" si="7"/>
        <v>10.444584382871536</v>
      </c>
    </row>
    <row r="84" spans="1:9" x14ac:dyDescent="0.3">
      <c r="A84" s="2">
        <v>240497</v>
      </c>
      <c r="B84" s="2" t="s">
        <v>105</v>
      </c>
      <c r="C84" s="2" t="s">
        <v>34</v>
      </c>
      <c r="D84" s="2" t="s">
        <v>104</v>
      </c>
      <c r="E84" s="3">
        <v>6.66</v>
      </c>
      <c r="F84" s="2">
        <v>76.63</v>
      </c>
      <c r="G84" s="2" t="str">
        <f t="shared" si="5"/>
        <v>Medium</v>
      </c>
      <c r="H84" s="3" t="str">
        <f t="shared" si="6"/>
        <v>Pass</v>
      </c>
      <c r="I84" s="3">
        <f t="shared" si="7"/>
        <v>11.506006006006006</v>
      </c>
    </row>
    <row r="85" spans="1:9" x14ac:dyDescent="0.3">
      <c r="A85" s="2">
        <v>240498</v>
      </c>
      <c r="B85" s="2" t="s">
        <v>106</v>
      </c>
      <c r="C85" s="2" t="s">
        <v>34</v>
      </c>
      <c r="D85" s="2" t="s">
        <v>104</v>
      </c>
      <c r="E85" s="3">
        <v>6.01</v>
      </c>
      <c r="F85" s="2">
        <v>75.36</v>
      </c>
      <c r="G85" s="2" t="str">
        <f t="shared" si="5"/>
        <v>Medium</v>
      </c>
      <c r="H85" s="3" t="str">
        <f t="shared" si="6"/>
        <v>Pass</v>
      </c>
      <c r="I85" s="3">
        <f t="shared" si="7"/>
        <v>12.539101497504159</v>
      </c>
    </row>
    <row r="86" spans="1:9" x14ac:dyDescent="0.3">
      <c r="A86" s="2">
        <v>240499</v>
      </c>
      <c r="B86" s="2" t="s">
        <v>107</v>
      </c>
      <c r="C86" s="2" t="s">
        <v>34</v>
      </c>
      <c r="D86" s="2" t="s">
        <v>104</v>
      </c>
      <c r="E86" s="3">
        <v>6.88</v>
      </c>
      <c r="F86" s="2">
        <v>77.290000000000006</v>
      </c>
      <c r="G86" s="2" t="str">
        <f t="shared" si="5"/>
        <v>Medium</v>
      </c>
      <c r="H86" s="3" t="str">
        <f t="shared" si="6"/>
        <v>Pass</v>
      </c>
      <c r="I86" s="3">
        <f t="shared" si="7"/>
        <v>11.234011627906979</v>
      </c>
    </row>
    <row r="87" spans="1:9" x14ac:dyDescent="0.3">
      <c r="A87" s="2">
        <v>240500</v>
      </c>
      <c r="B87" s="2" t="s">
        <v>108</v>
      </c>
      <c r="C87" s="2" t="s">
        <v>34</v>
      </c>
      <c r="D87" s="2" t="s">
        <v>104</v>
      </c>
      <c r="E87" s="3">
        <v>5.63</v>
      </c>
      <c r="F87" s="2">
        <v>72.87</v>
      </c>
      <c r="G87" s="2" t="str">
        <f t="shared" si="5"/>
        <v>Medium</v>
      </c>
      <c r="H87" s="3" t="str">
        <f t="shared" si="6"/>
        <v>Pass</v>
      </c>
      <c r="I87" s="3">
        <f t="shared" si="7"/>
        <v>12.943161634103021</v>
      </c>
    </row>
    <row r="88" spans="1:9" x14ac:dyDescent="0.3">
      <c r="A88" s="2">
        <v>240501</v>
      </c>
      <c r="B88" s="2" t="s">
        <v>109</v>
      </c>
      <c r="C88" s="2" t="s">
        <v>63</v>
      </c>
      <c r="D88" s="2" t="s">
        <v>104</v>
      </c>
      <c r="E88" s="3">
        <v>5.88</v>
      </c>
      <c r="F88" s="2">
        <v>73.400000000000006</v>
      </c>
      <c r="G88" s="2" t="str">
        <f t="shared" si="5"/>
        <v>Medium</v>
      </c>
      <c r="H88" s="3" t="str">
        <f t="shared" si="6"/>
        <v>Pass</v>
      </c>
      <c r="I88" s="3">
        <f t="shared" si="7"/>
        <v>12.482993197278912</v>
      </c>
    </row>
    <row r="89" spans="1:9" x14ac:dyDescent="0.3">
      <c r="A89" s="2">
        <v>240502</v>
      </c>
      <c r="B89" s="2" t="s">
        <v>110</v>
      </c>
      <c r="C89" s="2" t="s">
        <v>63</v>
      </c>
      <c r="D89" s="2" t="s">
        <v>104</v>
      </c>
      <c r="E89" s="3">
        <v>8.0500000000000007</v>
      </c>
      <c r="F89" s="2">
        <v>81.739999999999995</v>
      </c>
      <c r="G89" s="2" t="str">
        <f t="shared" si="5"/>
        <v>High</v>
      </c>
      <c r="H89" s="3" t="str">
        <f t="shared" si="6"/>
        <v>Pass</v>
      </c>
      <c r="I89" s="3">
        <f t="shared" si="7"/>
        <v>10.154037267080744</v>
      </c>
    </row>
    <row r="90" spans="1:9" x14ac:dyDescent="0.3">
      <c r="A90" s="2">
        <v>240503</v>
      </c>
      <c r="B90" s="2" t="s">
        <v>111</v>
      </c>
      <c r="C90" s="2" t="s">
        <v>78</v>
      </c>
      <c r="D90" s="2" t="s">
        <v>6</v>
      </c>
      <c r="E90" s="3">
        <v>5.33</v>
      </c>
      <c r="F90" s="2">
        <v>71.849999999999994</v>
      </c>
      <c r="G90" s="2" t="str">
        <f t="shared" si="5"/>
        <v>Medium</v>
      </c>
      <c r="H90" s="3" t="str">
        <f t="shared" si="6"/>
        <v>Pass</v>
      </c>
      <c r="I90" s="3">
        <f t="shared" si="7"/>
        <v>13.48030018761726</v>
      </c>
    </row>
    <row r="91" spans="1:9" x14ac:dyDescent="0.3">
      <c r="A91" s="2">
        <v>240504</v>
      </c>
      <c r="B91" s="2" t="s">
        <v>112</v>
      </c>
      <c r="C91" s="2" t="s">
        <v>78</v>
      </c>
      <c r="D91" s="2" t="s">
        <v>6</v>
      </c>
      <c r="E91" s="3">
        <v>8.7899999999999991</v>
      </c>
      <c r="F91" s="2">
        <v>84.6</v>
      </c>
      <c r="G91" s="2" t="str">
        <f t="shared" si="5"/>
        <v>High</v>
      </c>
      <c r="H91" s="3" t="str">
        <f t="shared" si="6"/>
        <v>Pass</v>
      </c>
      <c r="I91" s="3">
        <f t="shared" si="7"/>
        <v>9.6245733788395906</v>
      </c>
    </row>
    <row r="92" spans="1:9" x14ac:dyDescent="0.3">
      <c r="A92" s="2">
        <v>240505</v>
      </c>
      <c r="B92" s="2" t="s">
        <v>113</v>
      </c>
      <c r="C92" s="2" t="s">
        <v>46</v>
      </c>
      <c r="D92" s="2" t="s">
        <v>104</v>
      </c>
      <c r="E92" s="3">
        <v>7.52</v>
      </c>
      <c r="F92" s="2">
        <v>79.56</v>
      </c>
      <c r="G92" s="2" t="str">
        <f t="shared" si="5"/>
        <v>Medium</v>
      </c>
      <c r="H92" s="3" t="str">
        <f t="shared" si="6"/>
        <v>Pass</v>
      </c>
      <c r="I92" s="3">
        <f t="shared" si="7"/>
        <v>10.579787234042554</v>
      </c>
    </row>
    <row r="93" spans="1:9" x14ac:dyDescent="0.3">
      <c r="A93" s="2">
        <v>240506</v>
      </c>
      <c r="B93" s="2" t="s">
        <v>114</v>
      </c>
      <c r="C93" s="2" t="s">
        <v>63</v>
      </c>
      <c r="D93" s="2" t="s">
        <v>104</v>
      </c>
      <c r="E93" s="3">
        <v>8.1999999999999993</v>
      </c>
      <c r="F93" s="2">
        <v>82.1</v>
      </c>
      <c r="G93" s="2" t="str">
        <f t="shared" si="5"/>
        <v>High</v>
      </c>
      <c r="H93" s="3" t="str">
        <f t="shared" si="6"/>
        <v>Pass</v>
      </c>
      <c r="I93" s="3">
        <f t="shared" si="7"/>
        <v>10.012195121951219</v>
      </c>
    </row>
    <row r="94" spans="1:9" x14ac:dyDescent="0.3">
      <c r="A94" s="2">
        <v>240507</v>
      </c>
      <c r="B94" s="2" t="s">
        <v>115</v>
      </c>
      <c r="C94" s="2" t="s">
        <v>63</v>
      </c>
      <c r="D94" s="2" t="s">
        <v>104</v>
      </c>
      <c r="E94" s="3">
        <v>5.44</v>
      </c>
      <c r="F94" s="2">
        <v>72.08</v>
      </c>
      <c r="G94" s="2" t="str">
        <f t="shared" si="5"/>
        <v>Medium</v>
      </c>
      <c r="H94" s="3" t="str">
        <f t="shared" si="6"/>
        <v>Pass</v>
      </c>
      <c r="I94" s="3">
        <f t="shared" si="7"/>
        <v>13.249999999999998</v>
      </c>
    </row>
    <row r="95" spans="1:9" x14ac:dyDescent="0.3">
      <c r="A95" s="2">
        <v>240508</v>
      </c>
      <c r="B95" s="2" t="s">
        <v>116</v>
      </c>
      <c r="C95" s="2" t="s">
        <v>59</v>
      </c>
      <c r="D95" s="2" t="s">
        <v>104</v>
      </c>
      <c r="E95" s="3">
        <v>7.9</v>
      </c>
      <c r="F95" s="2">
        <v>79.099999999999994</v>
      </c>
      <c r="G95" s="2" t="str">
        <f t="shared" si="5"/>
        <v>Medium</v>
      </c>
      <c r="H95" s="3" t="str">
        <f t="shared" si="6"/>
        <v>Pass</v>
      </c>
      <c r="I95" s="3">
        <f t="shared" si="7"/>
        <v>10.0126582278481</v>
      </c>
    </row>
    <row r="96" spans="1:9" x14ac:dyDescent="0.3">
      <c r="A96" s="2">
        <v>240509</v>
      </c>
      <c r="B96" s="2" t="s">
        <v>117</v>
      </c>
      <c r="C96" s="2" t="s">
        <v>59</v>
      </c>
      <c r="D96" s="2" t="s">
        <v>104</v>
      </c>
      <c r="E96" s="3">
        <v>7.69</v>
      </c>
      <c r="F96" s="2">
        <v>81.010000000000005</v>
      </c>
      <c r="G96" s="2" t="str">
        <f t="shared" si="5"/>
        <v>High</v>
      </c>
      <c r="H96" s="3" t="str">
        <f t="shared" si="6"/>
        <v>Pass</v>
      </c>
      <c r="I96" s="3">
        <f t="shared" si="7"/>
        <v>10.534460338101431</v>
      </c>
    </row>
    <row r="97" spans="1:9" x14ac:dyDescent="0.3">
      <c r="A97" s="2">
        <v>240510</v>
      </c>
      <c r="B97" s="2" t="s">
        <v>118</v>
      </c>
      <c r="C97" s="2" t="s">
        <v>59</v>
      </c>
      <c r="D97" s="2" t="s">
        <v>104</v>
      </c>
      <c r="E97" s="3">
        <v>6.09</v>
      </c>
      <c r="F97" s="2">
        <v>76.48</v>
      </c>
      <c r="G97" s="2" t="str">
        <f t="shared" si="5"/>
        <v>Medium</v>
      </c>
      <c r="H97" s="3" t="str">
        <f t="shared" si="6"/>
        <v>Pass</v>
      </c>
      <c r="I97" s="3">
        <f t="shared" si="7"/>
        <v>12.558292282430214</v>
      </c>
    </row>
    <row r="98" spans="1:9" x14ac:dyDescent="0.3">
      <c r="A98" s="2">
        <v>240511</v>
      </c>
      <c r="B98" s="2" t="s">
        <v>119</v>
      </c>
      <c r="C98" s="2" t="s">
        <v>59</v>
      </c>
      <c r="D98" s="2" t="s">
        <v>104</v>
      </c>
      <c r="E98" s="3">
        <v>6.9959487179487185</v>
      </c>
      <c r="F98" s="2">
        <v>75.39</v>
      </c>
      <c r="G98" s="2" t="str">
        <f t="shared" ref="G98:G129" si="8">IF(F98&gt;=80,"High",IF(F98&gt;=60,"Medium","Low"))</f>
        <v>Medium</v>
      </c>
      <c r="H98" s="3" t="str">
        <f t="shared" ref="H98:H129" si="9">IF(F98&gt;=40,"Pass","Fail")</f>
        <v>Pass</v>
      </c>
      <c r="I98" s="3">
        <f t="shared" si="7"/>
        <v>10.776236796387652</v>
      </c>
    </row>
    <row r="99" spans="1:9" x14ac:dyDescent="0.3">
      <c r="A99" s="2">
        <v>240512</v>
      </c>
      <c r="B99" s="2" t="s">
        <v>120</v>
      </c>
      <c r="C99" s="2" t="s">
        <v>54</v>
      </c>
      <c r="D99" s="2" t="s">
        <v>47</v>
      </c>
      <c r="E99" s="3">
        <v>5.2</v>
      </c>
      <c r="F99" s="2">
        <v>68.569999999999993</v>
      </c>
      <c r="G99" s="2" t="str">
        <f t="shared" si="8"/>
        <v>Medium</v>
      </c>
      <c r="H99" s="3" t="str">
        <f t="shared" si="9"/>
        <v>Pass</v>
      </c>
      <c r="I99" s="3">
        <f t="shared" si="7"/>
        <v>13.18653846153846</v>
      </c>
    </row>
    <row r="100" spans="1:9" x14ac:dyDescent="0.3">
      <c r="A100" s="2">
        <v>240513</v>
      </c>
      <c r="B100" s="2" t="s">
        <v>121</v>
      </c>
      <c r="C100" s="2" t="s">
        <v>54</v>
      </c>
      <c r="D100" s="2" t="s">
        <v>47</v>
      </c>
      <c r="E100" s="3">
        <v>8.8800000000000008</v>
      </c>
      <c r="F100" s="2">
        <v>83.64</v>
      </c>
      <c r="G100" s="2" t="str">
        <f t="shared" si="8"/>
        <v>High</v>
      </c>
      <c r="H100" s="3" t="str">
        <f t="shared" si="9"/>
        <v>Pass</v>
      </c>
      <c r="I100" s="3">
        <f t="shared" si="7"/>
        <v>9.4189189189189175</v>
      </c>
    </row>
    <row r="101" spans="1:9" x14ac:dyDescent="0.3">
      <c r="A101" s="2">
        <v>240514</v>
      </c>
      <c r="B101" s="2" t="s">
        <v>122</v>
      </c>
      <c r="C101" s="2" t="s">
        <v>34</v>
      </c>
      <c r="D101" s="2" t="s">
        <v>123</v>
      </c>
      <c r="E101" s="3">
        <v>8.07</v>
      </c>
      <c r="F101" s="2">
        <v>82.3</v>
      </c>
      <c r="G101" s="2" t="str">
        <f t="shared" si="8"/>
        <v>High</v>
      </c>
      <c r="H101" s="3" t="str">
        <f t="shared" si="9"/>
        <v>Pass</v>
      </c>
      <c r="I101" s="3">
        <f t="shared" si="7"/>
        <v>10.198265179677819</v>
      </c>
    </row>
    <row r="102" spans="1:9" x14ac:dyDescent="0.3">
      <c r="A102" s="2">
        <v>240515</v>
      </c>
      <c r="B102" s="2" t="s">
        <v>124</v>
      </c>
      <c r="C102" s="2" t="s">
        <v>34</v>
      </c>
      <c r="D102" s="2" t="s">
        <v>123</v>
      </c>
      <c r="E102" s="3">
        <v>6.24</v>
      </c>
      <c r="F102" s="2">
        <v>75.180000000000007</v>
      </c>
      <c r="G102" s="2" t="str">
        <f t="shared" si="8"/>
        <v>Medium</v>
      </c>
      <c r="H102" s="3" t="str">
        <f t="shared" si="9"/>
        <v>Pass</v>
      </c>
      <c r="I102" s="3">
        <f t="shared" si="7"/>
        <v>12.048076923076923</v>
      </c>
    </row>
    <row r="103" spans="1:9" x14ac:dyDescent="0.3">
      <c r="A103" s="2">
        <v>240516</v>
      </c>
      <c r="B103" s="2" t="s">
        <v>125</v>
      </c>
      <c r="C103" s="2" t="s">
        <v>34</v>
      </c>
      <c r="D103" s="2" t="s">
        <v>123</v>
      </c>
      <c r="E103" s="3">
        <v>7.95</v>
      </c>
      <c r="F103" s="2">
        <v>82.03</v>
      </c>
      <c r="G103" s="2" t="str">
        <f t="shared" si="8"/>
        <v>High</v>
      </c>
      <c r="H103" s="3" t="str">
        <f t="shared" si="9"/>
        <v>Pass</v>
      </c>
      <c r="I103" s="3">
        <f t="shared" si="7"/>
        <v>10.318238993710692</v>
      </c>
    </row>
    <row r="104" spans="1:9" x14ac:dyDescent="0.3">
      <c r="A104" s="2">
        <v>240517</v>
      </c>
      <c r="B104" s="2" t="s">
        <v>126</v>
      </c>
      <c r="C104" s="2" t="s">
        <v>34</v>
      </c>
      <c r="D104" s="2" t="s">
        <v>123</v>
      </c>
      <c r="E104" s="3">
        <v>8.26</v>
      </c>
      <c r="F104" s="2">
        <v>82.99</v>
      </c>
      <c r="G104" s="2" t="str">
        <f t="shared" si="8"/>
        <v>High</v>
      </c>
      <c r="H104" s="3" t="str">
        <f t="shared" si="9"/>
        <v>Pass</v>
      </c>
      <c r="I104" s="3">
        <f t="shared" si="7"/>
        <v>10.047215496368038</v>
      </c>
    </row>
    <row r="105" spans="1:9" x14ac:dyDescent="0.3">
      <c r="A105" s="2">
        <v>240518</v>
      </c>
      <c r="B105" s="2" t="s">
        <v>127</v>
      </c>
      <c r="C105" s="2" t="s">
        <v>34</v>
      </c>
      <c r="D105" s="2" t="s">
        <v>123</v>
      </c>
      <c r="E105" s="3">
        <v>7.31</v>
      </c>
      <c r="F105" s="2">
        <v>79.260000000000005</v>
      </c>
      <c r="G105" s="2" t="str">
        <f t="shared" si="8"/>
        <v>Medium</v>
      </c>
      <c r="H105" s="3" t="str">
        <f t="shared" si="9"/>
        <v>Pass</v>
      </c>
      <c r="I105" s="3">
        <f t="shared" si="7"/>
        <v>10.842681258549932</v>
      </c>
    </row>
    <row r="106" spans="1:9" x14ac:dyDescent="0.3">
      <c r="A106" s="2">
        <v>240519</v>
      </c>
      <c r="B106" s="2" t="s">
        <v>128</v>
      </c>
      <c r="C106" s="2" t="s">
        <v>78</v>
      </c>
      <c r="D106" s="2" t="s">
        <v>47</v>
      </c>
      <c r="E106" s="3">
        <v>7.23</v>
      </c>
      <c r="F106" s="2">
        <v>77.55</v>
      </c>
      <c r="G106" s="2" t="str">
        <f t="shared" si="8"/>
        <v>Medium</v>
      </c>
      <c r="H106" s="3" t="str">
        <f t="shared" si="9"/>
        <v>Pass</v>
      </c>
      <c r="I106" s="3">
        <f t="shared" si="7"/>
        <v>10.726141078838173</v>
      </c>
    </row>
    <row r="107" spans="1:9" x14ac:dyDescent="0.3">
      <c r="A107" s="2">
        <v>240520</v>
      </c>
      <c r="B107" s="2" t="s">
        <v>129</v>
      </c>
      <c r="C107" s="2" t="s">
        <v>78</v>
      </c>
      <c r="D107" s="2" t="s">
        <v>47</v>
      </c>
      <c r="E107" s="3">
        <v>6.46</v>
      </c>
      <c r="F107" s="2">
        <v>77.069999999999993</v>
      </c>
      <c r="G107" s="2" t="str">
        <f t="shared" si="8"/>
        <v>Medium</v>
      </c>
      <c r="H107" s="3" t="str">
        <f t="shared" si="9"/>
        <v>Pass</v>
      </c>
      <c r="I107" s="3">
        <f t="shared" si="7"/>
        <v>11.930340557275541</v>
      </c>
    </row>
    <row r="108" spans="1:9" x14ac:dyDescent="0.3">
      <c r="A108" s="2">
        <v>240521</v>
      </c>
      <c r="B108" s="2" t="s">
        <v>130</v>
      </c>
      <c r="C108" s="2" t="s">
        <v>46</v>
      </c>
      <c r="D108" s="2" t="s">
        <v>123</v>
      </c>
      <c r="E108" s="3">
        <v>5.34</v>
      </c>
      <c r="F108" s="2">
        <v>72.099999999999994</v>
      </c>
      <c r="G108" s="2" t="str">
        <f t="shared" si="8"/>
        <v>Medium</v>
      </c>
      <c r="H108" s="3" t="str">
        <f t="shared" si="9"/>
        <v>Pass</v>
      </c>
      <c r="I108" s="3">
        <f t="shared" si="7"/>
        <v>13.50187265917603</v>
      </c>
    </row>
    <row r="109" spans="1:9" x14ac:dyDescent="0.3">
      <c r="A109" s="2">
        <v>240522</v>
      </c>
      <c r="B109" s="2" t="s">
        <v>131</v>
      </c>
      <c r="C109" s="2" t="s">
        <v>46</v>
      </c>
      <c r="D109" s="2" t="s">
        <v>123</v>
      </c>
      <c r="E109" s="3">
        <v>5.72</v>
      </c>
      <c r="F109" s="2">
        <v>73.25</v>
      </c>
      <c r="G109" s="2" t="str">
        <f t="shared" si="8"/>
        <v>Medium</v>
      </c>
      <c r="H109" s="3" t="str">
        <f t="shared" si="9"/>
        <v>Pass</v>
      </c>
      <c r="I109" s="3">
        <f t="shared" si="7"/>
        <v>12.805944055944057</v>
      </c>
    </row>
    <row r="110" spans="1:9" x14ac:dyDescent="0.3">
      <c r="A110" s="2">
        <v>240523</v>
      </c>
      <c r="B110" s="2" t="s">
        <v>132</v>
      </c>
      <c r="C110" s="2" t="s">
        <v>63</v>
      </c>
      <c r="D110" s="2" t="s">
        <v>123</v>
      </c>
      <c r="E110" s="3">
        <v>5.84</v>
      </c>
      <c r="F110" s="2">
        <v>74.25</v>
      </c>
      <c r="G110" s="2" t="str">
        <f t="shared" si="8"/>
        <v>Medium</v>
      </c>
      <c r="H110" s="3" t="str">
        <f t="shared" si="9"/>
        <v>Pass</v>
      </c>
      <c r="I110" s="3">
        <f t="shared" si="7"/>
        <v>12.714041095890412</v>
      </c>
    </row>
    <row r="111" spans="1:9" x14ac:dyDescent="0.3">
      <c r="A111" s="2">
        <v>240524</v>
      </c>
      <c r="B111" s="2" t="s">
        <v>133</v>
      </c>
      <c r="C111" s="2" t="s">
        <v>63</v>
      </c>
      <c r="D111" s="2" t="s">
        <v>123</v>
      </c>
      <c r="E111" s="3">
        <v>5.0199999999999996</v>
      </c>
      <c r="F111" s="2">
        <v>70.58</v>
      </c>
      <c r="G111" s="2" t="str">
        <f t="shared" si="8"/>
        <v>Medium</v>
      </c>
      <c r="H111" s="3" t="str">
        <f t="shared" si="9"/>
        <v>Pass</v>
      </c>
      <c r="I111" s="3">
        <f t="shared" si="7"/>
        <v>14.0597609561753</v>
      </c>
    </row>
    <row r="112" spans="1:9" x14ac:dyDescent="0.3">
      <c r="A112" s="2">
        <v>240525</v>
      </c>
      <c r="B112" s="2" t="s">
        <v>134</v>
      </c>
      <c r="C112" s="2" t="s">
        <v>54</v>
      </c>
      <c r="D112" s="2" t="s">
        <v>47</v>
      </c>
      <c r="E112" s="3">
        <v>7.98</v>
      </c>
      <c r="F112" s="2">
        <v>81.08</v>
      </c>
      <c r="G112" s="2" t="str">
        <f t="shared" si="8"/>
        <v>High</v>
      </c>
      <c r="H112" s="3" t="str">
        <f t="shared" si="9"/>
        <v>Pass</v>
      </c>
      <c r="I112" s="3">
        <f t="shared" si="7"/>
        <v>10.160401002506266</v>
      </c>
    </row>
    <row r="113" spans="1:9" x14ac:dyDescent="0.3">
      <c r="A113" s="2">
        <v>240526</v>
      </c>
      <c r="B113" s="2" t="s">
        <v>135</v>
      </c>
      <c r="C113" s="2" t="s">
        <v>54</v>
      </c>
      <c r="D113" s="2" t="s">
        <v>47</v>
      </c>
      <c r="E113" s="3">
        <v>6.37</v>
      </c>
      <c r="F113" s="2">
        <v>75.040000000000006</v>
      </c>
      <c r="G113" s="2" t="str">
        <f t="shared" si="8"/>
        <v>Medium</v>
      </c>
      <c r="H113" s="3" t="str">
        <f t="shared" si="9"/>
        <v>Pass</v>
      </c>
      <c r="I113" s="3">
        <f t="shared" si="7"/>
        <v>11.780219780219781</v>
      </c>
    </row>
    <row r="114" spans="1:9" x14ac:dyDescent="0.3">
      <c r="A114" s="2">
        <v>240527</v>
      </c>
      <c r="B114" s="2" t="s">
        <v>136</v>
      </c>
      <c r="C114" s="2" t="s">
        <v>54</v>
      </c>
      <c r="D114" s="2" t="s">
        <v>47</v>
      </c>
      <c r="E114" s="3">
        <v>6.92</v>
      </c>
      <c r="F114" s="2">
        <v>76.38</v>
      </c>
      <c r="G114" s="2" t="str">
        <f t="shared" si="8"/>
        <v>Medium</v>
      </c>
      <c r="H114" s="3" t="str">
        <f t="shared" si="9"/>
        <v>Pass</v>
      </c>
      <c r="I114" s="3">
        <f t="shared" si="7"/>
        <v>11.037572254335259</v>
      </c>
    </row>
    <row r="115" spans="1:9" x14ac:dyDescent="0.3">
      <c r="A115" s="2">
        <v>240528</v>
      </c>
      <c r="B115" s="2" t="s">
        <v>137</v>
      </c>
      <c r="C115" s="2" t="s">
        <v>54</v>
      </c>
      <c r="D115" s="2" t="s">
        <v>47</v>
      </c>
      <c r="E115" s="3">
        <v>7.95</v>
      </c>
      <c r="F115" s="2">
        <v>80.86</v>
      </c>
      <c r="G115" s="2" t="str">
        <f t="shared" si="8"/>
        <v>High</v>
      </c>
      <c r="H115" s="3" t="str">
        <f t="shared" si="9"/>
        <v>Pass</v>
      </c>
      <c r="I115" s="3">
        <f t="shared" si="7"/>
        <v>10.171069182389937</v>
      </c>
    </row>
    <row r="116" spans="1:9" x14ac:dyDescent="0.3">
      <c r="A116" s="2">
        <v>240529</v>
      </c>
      <c r="B116" s="2" t="s">
        <v>138</v>
      </c>
      <c r="C116" s="2" t="s">
        <v>5</v>
      </c>
      <c r="D116" s="2" t="s">
        <v>139</v>
      </c>
      <c r="E116" s="3">
        <v>7.12</v>
      </c>
      <c r="F116" s="2">
        <v>78.42</v>
      </c>
      <c r="G116" s="2" t="str">
        <f t="shared" si="8"/>
        <v>Medium</v>
      </c>
      <c r="H116" s="3" t="str">
        <f t="shared" si="9"/>
        <v>Pass</v>
      </c>
      <c r="I116" s="3">
        <f t="shared" si="7"/>
        <v>11.014044943820224</v>
      </c>
    </row>
    <row r="117" spans="1:9" x14ac:dyDescent="0.3">
      <c r="A117" s="2">
        <v>240530</v>
      </c>
      <c r="B117" s="2" t="s">
        <v>140</v>
      </c>
      <c r="C117" s="2" t="s">
        <v>5</v>
      </c>
      <c r="D117" s="2" t="s">
        <v>139</v>
      </c>
      <c r="E117" s="3">
        <v>5.79</v>
      </c>
      <c r="F117" s="2">
        <v>74.44</v>
      </c>
      <c r="G117" s="2" t="str">
        <f t="shared" si="8"/>
        <v>Medium</v>
      </c>
      <c r="H117" s="3" t="str">
        <f t="shared" si="9"/>
        <v>Pass</v>
      </c>
      <c r="I117" s="3">
        <f t="shared" si="7"/>
        <v>12.856649395509498</v>
      </c>
    </row>
    <row r="118" spans="1:9" x14ac:dyDescent="0.3">
      <c r="A118" s="2">
        <v>240531</v>
      </c>
      <c r="B118" s="2" t="s">
        <v>141</v>
      </c>
      <c r="C118" s="2" t="s">
        <v>5</v>
      </c>
      <c r="D118" s="2" t="s">
        <v>139</v>
      </c>
      <c r="E118" s="3">
        <v>5.4</v>
      </c>
      <c r="F118" s="2">
        <v>70.34</v>
      </c>
      <c r="G118" s="2" t="str">
        <f t="shared" si="8"/>
        <v>Medium</v>
      </c>
      <c r="H118" s="3" t="str">
        <f t="shared" si="9"/>
        <v>Pass</v>
      </c>
      <c r="I118" s="3">
        <f t="shared" si="7"/>
        <v>13.025925925925925</v>
      </c>
    </row>
    <row r="119" spans="1:9" x14ac:dyDescent="0.3">
      <c r="A119" s="2">
        <v>240532</v>
      </c>
      <c r="B119" s="2" t="s">
        <v>111</v>
      </c>
      <c r="C119" s="2" t="s">
        <v>34</v>
      </c>
      <c r="D119" s="2" t="s">
        <v>139</v>
      </c>
      <c r="E119" s="3">
        <v>8.83</v>
      </c>
      <c r="F119" s="2">
        <v>85.04</v>
      </c>
      <c r="G119" s="2" t="str">
        <f t="shared" si="8"/>
        <v>High</v>
      </c>
      <c r="H119" s="3" t="str">
        <f t="shared" si="9"/>
        <v>Pass</v>
      </c>
      <c r="I119" s="3">
        <f t="shared" si="7"/>
        <v>9.6308040770101933</v>
      </c>
    </row>
    <row r="120" spans="1:9" x14ac:dyDescent="0.3">
      <c r="A120" s="2">
        <v>240533</v>
      </c>
      <c r="B120" s="2" t="s">
        <v>142</v>
      </c>
      <c r="C120" s="2" t="s">
        <v>34</v>
      </c>
      <c r="D120" s="2" t="s">
        <v>139</v>
      </c>
      <c r="E120" s="3">
        <v>5.69</v>
      </c>
      <c r="F120" s="2">
        <v>73.61</v>
      </c>
      <c r="G120" s="2" t="str">
        <f t="shared" si="8"/>
        <v>Medium</v>
      </c>
      <c r="H120" s="3" t="str">
        <f t="shared" si="9"/>
        <v>Pass</v>
      </c>
      <c r="I120" s="3">
        <f t="shared" si="7"/>
        <v>12.936731107205622</v>
      </c>
    </row>
    <row r="121" spans="1:9" x14ac:dyDescent="0.3">
      <c r="A121" s="2">
        <v>240534</v>
      </c>
      <c r="B121" s="2" t="s">
        <v>143</v>
      </c>
      <c r="C121" s="2" t="s">
        <v>5</v>
      </c>
      <c r="D121" s="2" t="s">
        <v>139</v>
      </c>
      <c r="E121" s="3">
        <v>6.6</v>
      </c>
      <c r="F121" s="2">
        <v>75.55</v>
      </c>
      <c r="G121" s="2" t="str">
        <f t="shared" si="8"/>
        <v>Medium</v>
      </c>
      <c r="H121" s="3" t="str">
        <f t="shared" si="9"/>
        <v>Pass</v>
      </c>
      <c r="I121" s="3">
        <f t="shared" si="7"/>
        <v>11.446969696969697</v>
      </c>
    </row>
    <row r="122" spans="1:9" x14ac:dyDescent="0.3">
      <c r="A122" s="2">
        <v>240535</v>
      </c>
      <c r="B122" s="2" t="s">
        <v>144</v>
      </c>
      <c r="C122" s="2" t="s">
        <v>5</v>
      </c>
      <c r="D122" s="2" t="s">
        <v>139</v>
      </c>
      <c r="E122" s="3">
        <v>6.52</v>
      </c>
      <c r="F122" s="2">
        <v>76.2</v>
      </c>
      <c r="G122" s="2" t="str">
        <f t="shared" si="8"/>
        <v>Medium</v>
      </c>
      <c r="H122" s="3" t="str">
        <f t="shared" si="9"/>
        <v>Pass</v>
      </c>
      <c r="I122" s="3">
        <f t="shared" si="7"/>
        <v>11.687116564417179</v>
      </c>
    </row>
    <row r="123" spans="1:9" x14ac:dyDescent="0.3">
      <c r="A123" s="2">
        <v>240536</v>
      </c>
      <c r="B123" s="2" t="s">
        <v>145</v>
      </c>
      <c r="C123" s="2" t="s">
        <v>78</v>
      </c>
      <c r="D123" s="2" t="s">
        <v>81</v>
      </c>
      <c r="E123" s="3">
        <v>8.31</v>
      </c>
      <c r="F123" s="2">
        <v>82.69</v>
      </c>
      <c r="G123" s="2" t="str">
        <f t="shared" si="8"/>
        <v>High</v>
      </c>
      <c r="H123" s="3" t="str">
        <f t="shared" si="9"/>
        <v>Pass</v>
      </c>
      <c r="I123" s="3">
        <f t="shared" si="7"/>
        <v>9.9506618531889277</v>
      </c>
    </row>
    <row r="124" spans="1:9" x14ac:dyDescent="0.3">
      <c r="A124" s="2">
        <v>240537</v>
      </c>
      <c r="B124" s="2" t="s">
        <v>146</v>
      </c>
      <c r="C124" s="2" t="s">
        <v>59</v>
      </c>
      <c r="D124" s="2" t="s">
        <v>81</v>
      </c>
      <c r="E124" s="3">
        <v>6.9959487179487185</v>
      </c>
      <c r="F124" s="2">
        <v>76.83</v>
      </c>
      <c r="G124" s="2" t="str">
        <f t="shared" si="8"/>
        <v>Medium</v>
      </c>
      <c r="H124" s="3" t="str">
        <f t="shared" si="9"/>
        <v>Pass</v>
      </c>
      <c r="I124" s="3">
        <f t="shared" si="7"/>
        <v>10.982070209132024</v>
      </c>
    </row>
    <row r="125" spans="1:9" x14ac:dyDescent="0.3">
      <c r="A125" s="2">
        <v>240538</v>
      </c>
      <c r="B125" s="2" t="s">
        <v>147</v>
      </c>
      <c r="C125" s="2"/>
      <c r="D125" s="2" t="s">
        <v>81</v>
      </c>
      <c r="E125" s="3">
        <v>7.62</v>
      </c>
      <c r="F125" s="2">
        <v>79.53</v>
      </c>
      <c r="G125" s="2" t="str">
        <f t="shared" si="8"/>
        <v>Medium</v>
      </c>
      <c r="H125" s="3" t="str">
        <f t="shared" si="9"/>
        <v>Pass</v>
      </c>
      <c r="I125" s="3">
        <f t="shared" si="7"/>
        <v>10.437007874015748</v>
      </c>
    </row>
    <row r="126" spans="1:9" x14ac:dyDescent="0.3">
      <c r="A126" s="2">
        <v>240539</v>
      </c>
      <c r="B126" s="2" t="s">
        <v>148</v>
      </c>
      <c r="C126" s="2" t="s">
        <v>59</v>
      </c>
      <c r="D126" s="2" t="s">
        <v>81</v>
      </c>
      <c r="E126" s="3">
        <v>8.69</v>
      </c>
      <c r="F126" s="2">
        <v>83.57</v>
      </c>
      <c r="G126" s="2" t="str">
        <f t="shared" si="8"/>
        <v>High</v>
      </c>
      <c r="H126" s="3" t="str">
        <f t="shared" si="9"/>
        <v>Pass</v>
      </c>
      <c r="I126" s="3">
        <f t="shared" si="7"/>
        <v>9.6168009205983882</v>
      </c>
    </row>
    <row r="127" spans="1:9" x14ac:dyDescent="0.3">
      <c r="A127" s="2">
        <v>240540</v>
      </c>
      <c r="B127" s="2" t="s">
        <v>149</v>
      </c>
      <c r="C127" s="2" t="s">
        <v>59</v>
      </c>
      <c r="D127" s="2" t="s">
        <v>139</v>
      </c>
      <c r="E127" s="3">
        <v>8.75</v>
      </c>
      <c r="F127" s="2">
        <v>85.95</v>
      </c>
      <c r="G127" s="2" t="str">
        <f t="shared" si="8"/>
        <v>High</v>
      </c>
      <c r="H127" s="3" t="str">
        <f t="shared" si="9"/>
        <v>Pass</v>
      </c>
      <c r="I127" s="3">
        <f t="shared" si="7"/>
        <v>9.8228571428571438</v>
      </c>
    </row>
    <row r="128" spans="1:9" x14ac:dyDescent="0.3">
      <c r="A128" s="2">
        <v>240541</v>
      </c>
      <c r="B128" s="2" t="s">
        <v>150</v>
      </c>
      <c r="C128" s="2" t="s">
        <v>34</v>
      </c>
      <c r="D128" s="2" t="s">
        <v>139</v>
      </c>
      <c r="E128" s="3">
        <v>6.46</v>
      </c>
      <c r="F128" s="2">
        <v>76.02</v>
      </c>
      <c r="G128" s="2" t="str">
        <f t="shared" si="8"/>
        <v>Medium</v>
      </c>
      <c r="H128" s="3" t="str">
        <f t="shared" si="9"/>
        <v>Pass</v>
      </c>
      <c r="I128" s="3">
        <f t="shared" si="7"/>
        <v>11.767801857585139</v>
      </c>
    </row>
    <row r="129" spans="1:9" x14ac:dyDescent="0.3">
      <c r="A129" s="2">
        <v>240542</v>
      </c>
      <c r="B129" s="2" t="s">
        <v>151</v>
      </c>
      <c r="C129" s="2" t="s">
        <v>34</v>
      </c>
      <c r="D129" s="2" t="s">
        <v>139</v>
      </c>
      <c r="E129" s="3">
        <v>7.14</v>
      </c>
      <c r="F129" s="2">
        <v>77.650000000000006</v>
      </c>
      <c r="G129" s="2" t="str">
        <f t="shared" si="8"/>
        <v>Medium</v>
      </c>
      <c r="H129" s="3" t="str">
        <f t="shared" si="9"/>
        <v>Pass</v>
      </c>
      <c r="I129" s="3">
        <f t="shared" si="7"/>
        <v>10.875350140056023</v>
      </c>
    </row>
    <row r="130" spans="1:9" x14ac:dyDescent="0.3">
      <c r="A130" s="2">
        <v>240543</v>
      </c>
      <c r="B130" s="2" t="s">
        <v>152</v>
      </c>
      <c r="C130" s="2" t="s">
        <v>54</v>
      </c>
      <c r="D130" s="2" t="s">
        <v>47</v>
      </c>
      <c r="E130" s="3">
        <v>6.38</v>
      </c>
      <c r="F130" s="2">
        <v>77.010000000000005</v>
      </c>
      <c r="G130" s="2" t="str">
        <f t="shared" ref="G130:G161" si="10">IF(F130&gt;=80,"High",IF(F130&gt;=60,"Medium","Low"))</f>
        <v>Medium</v>
      </c>
      <c r="H130" s="3" t="str">
        <f t="shared" ref="H130:H161" si="11">IF(F130&gt;=40,"Pass","Fail")</f>
        <v>Pass</v>
      </c>
      <c r="I130" s="3">
        <f t="shared" ref="I130:I193" si="12">F130/E130</f>
        <v>12.070532915360502</v>
      </c>
    </row>
    <row r="131" spans="1:9" x14ac:dyDescent="0.3">
      <c r="A131" s="2">
        <v>240544</v>
      </c>
      <c r="B131" s="2" t="s">
        <v>153</v>
      </c>
      <c r="C131" s="2" t="s">
        <v>54</v>
      </c>
      <c r="D131" s="2" t="s">
        <v>47</v>
      </c>
      <c r="E131" s="3">
        <v>6.33</v>
      </c>
      <c r="F131" s="2">
        <v>74.489999999999995</v>
      </c>
      <c r="G131" s="2" t="str">
        <f t="shared" si="10"/>
        <v>Medium</v>
      </c>
      <c r="H131" s="3" t="str">
        <f t="shared" si="11"/>
        <v>Pass</v>
      </c>
      <c r="I131" s="3">
        <f t="shared" si="12"/>
        <v>11.76777251184834</v>
      </c>
    </row>
    <row r="132" spans="1:9" x14ac:dyDescent="0.3">
      <c r="A132" s="2">
        <v>240545</v>
      </c>
      <c r="B132" s="2" t="s">
        <v>154</v>
      </c>
      <c r="C132" s="2" t="s">
        <v>54</v>
      </c>
      <c r="D132" s="2" t="s">
        <v>47</v>
      </c>
      <c r="E132" s="3">
        <v>5.64</v>
      </c>
      <c r="F132" s="2">
        <v>73.19</v>
      </c>
      <c r="G132" s="2" t="str">
        <f t="shared" si="10"/>
        <v>Medium</v>
      </c>
      <c r="H132" s="3" t="str">
        <f t="shared" si="11"/>
        <v>Pass</v>
      </c>
      <c r="I132" s="3">
        <f t="shared" si="12"/>
        <v>12.976950354609929</v>
      </c>
    </row>
    <row r="133" spans="1:9" x14ac:dyDescent="0.3">
      <c r="A133" s="2">
        <v>240546</v>
      </c>
      <c r="B133" s="2" t="s">
        <v>155</v>
      </c>
      <c r="C133" s="2" t="s">
        <v>54</v>
      </c>
      <c r="D133" s="2" t="s">
        <v>47</v>
      </c>
      <c r="E133" s="3">
        <v>5.26</v>
      </c>
      <c r="F133" s="2">
        <v>71.86</v>
      </c>
      <c r="G133" s="2" t="str">
        <f t="shared" si="10"/>
        <v>Medium</v>
      </c>
      <c r="H133" s="3" t="str">
        <f t="shared" si="11"/>
        <v>Pass</v>
      </c>
      <c r="I133" s="3">
        <f t="shared" si="12"/>
        <v>13.661596958174906</v>
      </c>
    </row>
    <row r="134" spans="1:9" x14ac:dyDescent="0.3">
      <c r="A134" s="2">
        <v>240547</v>
      </c>
      <c r="B134" s="2" t="s">
        <v>156</v>
      </c>
      <c r="C134" s="2" t="s">
        <v>5</v>
      </c>
      <c r="D134" s="2" t="s">
        <v>139</v>
      </c>
      <c r="E134" s="3">
        <v>6.83</v>
      </c>
      <c r="F134" s="2">
        <v>75.8</v>
      </c>
      <c r="G134" s="2" t="str">
        <f t="shared" si="10"/>
        <v>Medium</v>
      </c>
      <c r="H134" s="3" t="str">
        <f t="shared" si="11"/>
        <v>Pass</v>
      </c>
      <c r="I134" s="3">
        <f t="shared" si="12"/>
        <v>11.09809663250366</v>
      </c>
    </row>
    <row r="135" spans="1:9" x14ac:dyDescent="0.3">
      <c r="A135" s="2">
        <v>240548</v>
      </c>
      <c r="B135" s="2" t="s">
        <v>157</v>
      </c>
      <c r="C135" s="2" t="s">
        <v>5</v>
      </c>
      <c r="D135" s="2" t="s">
        <v>139</v>
      </c>
      <c r="E135" s="3">
        <v>5.76</v>
      </c>
      <c r="F135" s="2">
        <v>72.459999999999994</v>
      </c>
      <c r="G135" s="2" t="str">
        <f t="shared" si="10"/>
        <v>Medium</v>
      </c>
      <c r="H135" s="3" t="str">
        <f t="shared" si="11"/>
        <v>Pass</v>
      </c>
      <c r="I135" s="3">
        <f t="shared" si="12"/>
        <v>12.579861111111111</v>
      </c>
    </row>
    <row r="136" spans="1:9" x14ac:dyDescent="0.3">
      <c r="A136" s="2">
        <v>240549</v>
      </c>
      <c r="B136" s="2" t="s">
        <v>158</v>
      </c>
      <c r="C136" s="2"/>
      <c r="D136" s="2" t="s">
        <v>47</v>
      </c>
      <c r="E136" s="3">
        <v>6.51</v>
      </c>
      <c r="F136" s="2">
        <v>78.39</v>
      </c>
      <c r="G136" s="2" t="str">
        <f t="shared" si="10"/>
        <v>Medium</v>
      </c>
      <c r="H136" s="3" t="str">
        <f t="shared" si="11"/>
        <v>Pass</v>
      </c>
      <c r="I136" s="3">
        <f t="shared" si="12"/>
        <v>12.041474654377881</v>
      </c>
    </row>
    <row r="137" spans="1:9" x14ac:dyDescent="0.3">
      <c r="A137" s="2">
        <v>240550</v>
      </c>
      <c r="B137" s="2" t="s">
        <v>159</v>
      </c>
      <c r="C137" s="2" t="s">
        <v>78</v>
      </c>
      <c r="D137" s="2" t="s">
        <v>47</v>
      </c>
      <c r="E137" s="3">
        <v>8.33</v>
      </c>
      <c r="F137" s="2">
        <v>83.48</v>
      </c>
      <c r="G137" s="2" t="str">
        <f t="shared" si="10"/>
        <v>High</v>
      </c>
      <c r="H137" s="3" t="str">
        <f t="shared" si="11"/>
        <v>Pass</v>
      </c>
      <c r="I137" s="3">
        <f t="shared" si="12"/>
        <v>10.021608643457384</v>
      </c>
    </row>
    <row r="138" spans="1:9" x14ac:dyDescent="0.3">
      <c r="A138" s="2">
        <v>240551</v>
      </c>
      <c r="B138" s="2" t="s">
        <v>160</v>
      </c>
      <c r="C138" s="2" t="s">
        <v>78</v>
      </c>
      <c r="D138" s="2" t="s">
        <v>6</v>
      </c>
      <c r="E138" s="3">
        <v>8.16</v>
      </c>
      <c r="F138" s="2">
        <v>83.15</v>
      </c>
      <c r="G138" s="2" t="str">
        <f t="shared" si="10"/>
        <v>High</v>
      </c>
      <c r="H138" s="3" t="str">
        <f t="shared" si="11"/>
        <v>Pass</v>
      </c>
      <c r="I138" s="3">
        <f t="shared" si="12"/>
        <v>10.189950980392158</v>
      </c>
    </row>
    <row r="139" spans="1:9" x14ac:dyDescent="0.3">
      <c r="A139" s="2">
        <v>240552</v>
      </c>
      <c r="B139" s="2" t="s">
        <v>161</v>
      </c>
      <c r="C139" s="2" t="s">
        <v>5</v>
      </c>
      <c r="D139" s="2" t="s">
        <v>6</v>
      </c>
      <c r="E139" s="3">
        <v>5.14</v>
      </c>
      <c r="F139" s="2">
        <v>71.22</v>
      </c>
      <c r="G139" s="2" t="str">
        <f t="shared" si="10"/>
        <v>Medium</v>
      </c>
      <c r="H139" s="3" t="str">
        <f t="shared" si="11"/>
        <v>Pass</v>
      </c>
      <c r="I139" s="3">
        <f t="shared" si="12"/>
        <v>13.85603112840467</v>
      </c>
    </row>
    <row r="140" spans="1:9" x14ac:dyDescent="0.3">
      <c r="A140" s="2">
        <v>240553</v>
      </c>
      <c r="B140" s="2" t="s">
        <v>162</v>
      </c>
      <c r="C140" s="2" t="s">
        <v>59</v>
      </c>
      <c r="D140" s="2" t="s">
        <v>6</v>
      </c>
      <c r="E140" s="3">
        <v>8.7100000000000009</v>
      </c>
      <c r="F140" s="2">
        <v>85.98</v>
      </c>
      <c r="G140" s="2" t="str">
        <f t="shared" si="10"/>
        <v>High</v>
      </c>
      <c r="H140" s="3" t="str">
        <f t="shared" si="11"/>
        <v>Pass</v>
      </c>
      <c r="I140" s="3">
        <f t="shared" si="12"/>
        <v>9.8714121699196316</v>
      </c>
    </row>
    <row r="141" spans="1:9" x14ac:dyDescent="0.3">
      <c r="A141" s="2">
        <v>240554</v>
      </c>
      <c r="B141" s="2" t="s">
        <v>163</v>
      </c>
      <c r="C141" s="2" t="s">
        <v>54</v>
      </c>
      <c r="D141" s="2" t="s">
        <v>6</v>
      </c>
      <c r="E141" s="3">
        <v>8.6</v>
      </c>
      <c r="F141" s="2">
        <v>83.91</v>
      </c>
      <c r="G141" s="2" t="str">
        <f t="shared" si="10"/>
        <v>High</v>
      </c>
      <c r="H141" s="3" t="str">
        <f t="shared" si="11"/>
        <v>Pass</v>
      </c>
      <c r="I141" s="3">
        <f t="shared" si="12"/>
        <v>9.756976744186046</v>
      </c>
    </row>
    <row r="142" spans="1:9" x14ac:dyDescent="0.3">
      <c r="A142" s="2">
        <v>240554</v>
      </c>
      <c r="B142" s="2" t="s">
        <v>164</v>
      </c>
      <c r="C142" s="2" t="s">
        <v>34</v>
      </c>
      <c r="D142" s="2" t="s">
        <v>6</v>
      </c>
      <c r="E142" s="3">
        <v>8.6</v>
      </c>
      <c r="F142" s="2">
        <v>84.58</v>
      </c>
      <c r="G142" s="2" t="str">
        <f t="shared" si="10"/>
        <v>High</v>
      </c>
      <c r="H142" s="3" t="str">
        <f t="shared" si="11"/>
        <v>Pass</v>
      </c>
      <c r="I142" s="3">
        <f t="shared" si="12"/>
        <v>9.8348837209302324</v>
      </c>
    </row>
    <row r="143" spans="1:9" x14ac:dyDescent="0.3">
      <c r="A143" s="2">
        <v>240555</v>
      </c>
      <c r="B143" s="2" t="s">
        <v>165</v>
      </c>
      <c r="C143" s="2" t="s">
        <v>34</v>
      </c>
      <c r="D143" s="2" t="s">
        <v>6</v>
      </c>
      <c r="E143" s="3">
        <v>7.43</v>
      </c>
      <c r="F143" s="2">
        <v>80.31</v>
      </c>
      <c r="G143" s="2" t="str">
        <f t="shared" si="10"/>
        <v>High</v>
      </c>
      <c r="H143" s="3" t="str">
        <f t="shared" si="11"/>
        <v>Pass</v>
      </c>
      <c r="I143" s="3">
        <f t="shared" si="12"/>
        <v>10.808882907133244</v>
      </c>
    </row>
    <row r="144" spans="1:9" x14ac:dyDescent="0.3">
      <c r="A144" s="2">
        <v>240556</v>
      </c>
      <c r="B144" s="2" t="s">
        <v>166</v>
      </c>
      <c r="C144" s="2" t="s">
        <v>46</v>
      </c>
      <c r="D144" s="2" t="s">
        <v>6</v>
      </c>
      <c r="E144" s="3">
        <v>7.81</v>
      </c>
      <c r="F144" s="2">
        <v>82.55</v>
      </c>
      <c r="G144" s="2" t="str">
        <f t="shared" si="10"/>
        <v>High</v>
      </c>
      <c r="H144" s="3" t="str">
        <f t="shared" si="11"/>
        <v>Pass</v>
      </c>
      <c r="I144" s="3">
        <f t="shared" si="12"/>
        <v>10.56978233034571</v>
      </c>
    </row>
    <row r="145" spans="1:9" x14ac:dyDescent="0.3">
      <c r="A145" s="2">
        <v>240557</v>
      </c>
      <c r="B145" s="2" t="s">
        <v>167</v>
      </c>
      <c r="C145" s="2" t="s">
        <v>46</v>
      </c>
      <c r="D145" s="2" t="s">
        <v>6</v>
      </c>
      <c r="E145" s="3">
        <v>6.51</v>
      </c>
      <c r="F145" s="2">
        <v>75.52</v>
      </c>
      <c r="G145" s="2" t="str">
        <f t="shared" si="10"/>
        <v>Medium</v>
      </c>
      <c r="H145" s="3" t="str">
        <f t="shared" si="11"/>
        <v>Pass</v>
      </c>
      <c r="I145" s="3">
        <f t="shared" si="12"/>
        <v>11.600614439324117</v>
      </c>
    </row>
    <row r="146" spans="1:9" x14ac:dyDescent="0.3">
      <c r="A146" s="2">
        <v>240558</v>
      </c>
      <c r="B146" s="2" t="s">
        <v>168</v>
      </c>
      <c r="C146" s="2" t="s">
        <v>46</v>
      </c>
      <c r="D146" s="2" t="s">
        <v>6</v>
      </c>
      <c r="E146" s="3">
        <v>8.11</v>
      </c>
      <c r="F146" s="2">
        <v>83.82</v>
      </c>
      <c r="G146" s="2" t="str">
        <f t="shared" si="10"/>
        <v>High</v>
      </c>
      <c r="H146" s="3" t="str">
        <f t="shared" si="11"/>
        <v>Pass</v>
      </c>
      <c r="I146" s="3">
        <f t="shared" si="12"/>
        <v>10.335388409371147</v>
      </c>
    </row>
    <row r="147" spans="1:9" x14ac:dyDescent="0.3">
      <c r="A147" s="2">
        <v>240559</v>
      </c>
      <c r="B147" s="2" t="s">
        <v>169</v>
      </c>
      <c r="C147" s="2" t="s">
        <v>34</v>
      </c>
      <c r="D147" s="2" t="s">
        <v>6</v>
      </c>
      <c r="E147" s="3">
        <v>8.9499999999999993</v>
      </c>
      <c r="F147" s="2">
        <v>85.15</v>
      </c>
      <c r="G147" s="2" t="str">
        <f t="shared" si="10"/>
        <v>High</v>
      </c>
      <c r="H147" s="3" t="str">
        <f t="shared" si="11"/>
        <v>Pass</v>
      </c>
      <c r="I147" s="3">
        <f t="shared" si="12"/>
        <v>9.5139664804469284</v>
      </c>
    </row>
    <row r="148" spans="1:9" x14ac:dyDescent="0.3">
      <c r="A148" s="2">
        <v>240560</v>
      </c>
      <c r="B148" s="2" t="s">
        <v>170</v>
      </c>
      <c r="C148" s="2" t="s">
        <v>34</v>
      </c>
      <c r="D148" s="2" t="s">
        <v>6</v>
      </c>
      <c r="E148" s="3">
        <v>7.99</v>
      </c>
      <c r="F148" s="2">
        <v>82.75</v>
      </c>
      <c r="G148" s="2" t="str">
        <f t="shared" si="10"/>
        <v>High</v>
      </c>
      <c r="H148" s="3" t="str">
        <f t="shared" si="11"/>
        <v>Pass</v>
      </c>
      <c r="I148" s="3">
        <f t="shared" si="12"/>
        <v>10.356695869837296</v>
      </c>
    </row>
    <row r="149" spans="1:9" x14ac:dyDescent="0.3">
      <c r="A149" s="2">
        <v>240561</v>
      </c>
      <c r="B149" s="2" t="s">
        <v>171</v>
      </c>
      <c r="C149" s="2" t="s">
        <v>34</v>
      </c>
      <c r="D149" s="2" t="s">
        <v>29</v>
      </c>
      <c r="E149" s="3">
        <v>5.92</v>
      </c>
      <c r="F149" s="2">
        <v>74.34</v>
      </c>
      <c r="G149" s="2" t="str">
        <f t="shared" si="10"/>
        <v>Medium</v>
      </c>
      <c r="H149" s="3" t="str">
        <f t="shared" si="11"/>
        <v>Pass</v>
      </c>
      <c r="I149" s="3">
        <f t="shared" si="12"/>
        <v>12.557432432432433</v>
      </c>
    </row>
    <row r="150" spans="1:9" x14ac:dyDescent="0.3">
      <c r="A150" s="2">
        <v>240562</v>
      </c>
      <c r="B150" s="2" t="s">
        <v>172</v>
      </c>
      <c r="C150" s="2" t="s">
        <v>34</v>
      </c>
      <c r="D150" s="2" t="s">
        <v>29</v>
      </c>
      <c r="E150" s="3">
        <v>8.3000000000000007</v>
      </c>
      <c r="F150" s="2">
        <v>82.02</v>
      </c>
      <c r="G150" s="2" t="str">
        <f t="shared" si="10"/>
        <v>High</v>
      </c>
      <c r="H150" s="3" t="str">
        <f t="shared" si="11"/>
        <v>Pass</v>
      </c>
      <c r="I150" s="3">
        <f t="shared" si="12"/>
        <v>9.8819277108433727</v>
      </c>
    </row>
    <row r="151" spans="1:9" x14ac:dyDescent="0.3">
      <c r="A151" s="2">
        <v>240563</v>
      </c>
      <c r="B151" s="2" t="s">
        <v>173</v>
      </c>
      <c r="C151" s="2" t="s">
        <v>46</v>
      </c>
      <c r="D151" s="2" t="s">
        <v>29</v>
      </c>
      <c r="E151" s="3">
        <v>8.9700000000000006</v>
      </c>
      <c r="F151" s="2">
        <v>86.12</v>
      </c>
      <c r="G151" s="2" t="str">
        <f t="shared" si="10"/>
        <v>High</v>
      </c>
      <c r="H151" s="3" t="str">
        <f t="shared" si="11"/>
        <v>Pass</v>
      </c>
      <c r="I151" s="3">
        <f t="shared" si="12"/>
        <v>9.6008918617614274</v>
      </c>
    </row>
    <row r="152" spans="1:9" x14ac:dyDescent="0.3">
      <c r="A152" s="2">
        <v>240564</v>
      </c>
      <c r="B152" s="2" t="s">
        <v>174</v>
      </c>
      <c r="C152" s="2" t="s">
        <v>5</v>
      </c>
      <c r="D152" s="2" t="s">
        <v>29</v>
      </c>
      <c r="E152" s="3">
        <v>5.39</v>
      </c>
      <c r="F152" s="2">
        <v>71.87</v>
      </c>
      <c r="G152" s="2" t="str">
        <f t="shared" si="10"/>
        <v>Medium</v>
      </c>
      <c r="H152" s="3" t="str">
        <f t="shared" si="11"/>
        <v>Pass</v>
      </c>
      <c r="I152" s="3">
        <f t="shared" si="12"/>
        <v>13.333951762523192</v>
      </c>
    </row>
    <row r="153" spans="1:9" x14ac:dyDescent="0.3">
      <c r="A153" s="2">
        <v>240565</v>
      </c>
      <c r="B153" s="2" t="s">
        <v>175</v>
      </c>
      <c r="C153" s="2" t="s">
        <v>5</v>
      </c>
      <c r="D153" s="2" t="s">
        <v>29</v>
      </c>
      <c r="E153" s="3">
        <v>6.77</v>
      </c>
      <c r="F153" s="2">
        <v>76.7</v>
      </c>
      <c r="G153" s="2" t="str">
        <f t="shared" si="10"/>
        <v>Medium</v>
      </c>
      <c r="H153" s="3" t="str">
        <f t="shared" si="11"/>
        <v>Pass</v>
      </c>
      <c r="I153" s="3">
        <f t="shared" si="12"/>
        <v>11.329394387001479</v>
      </c>
    </row>
    <row r="154" spans="1:9" x14ac:dyDescent="0.3">
      <c r="A154" s="2">
        <v>240566</v>
      </c>
      <c r="B154" s="2" t="s">
        <v>176</v>
      </c>
      <c r="C154" s="2" t="s">
        <v>63</v>
      </c>
      <c r="D154" s="2" t="s">
        <v>29</v>
      </c>
      <c r="E154" s="3">
        <v>8.08</v>
      </c>
      <c r="F154" s="2">
        <v>81.7</v>
      </c>
      <c r="G154" s="2" t="str">
        <f t="shared" si="10"/>
        <v>High</v>
      </c>
      <c r="H154" s="3" t="str">
        <f t="shared" si="11"/>
        <v>Pass</v>
      </c>
      <c r="I154" s="3">
        <f t="shared" si="12"/>
        <v>10.111386138613861</v>
      </c>
    </row>
    <row r="155" spans="1:9" x14ac:dyDescent="0.3">
      <c r="A155" s="2">
        <v>240567</v>
      </c>
      <c r="B155" s="2" t="s">
        <v>177</v>
      </c>
      <c r="C155" s="2" t="s">
        <v>59</v>
      </c>
      <c r="D155" s="2" t="s">
        <v>29</v>
      </c>
      <c r="E155" s="3">
        <v>5.24</v>
      </c>
      <c r="F155" s="2">
        <v>70.78</v>
      </c>
      <c r="G155" s="2" t="str">
        <f t="shared" si="10"/>
        <v>Medium</v>
      </c>
      <c r="H155" s="3" t="str">
        <f t="shared" si="11"/>
        <v>Pass</v>
      </c>
      <c r="I155" s="3">
        <f t="shared" si="12"/>
        <v>13.507633587786259</v>
      </c>
    </row>
    <row r="156" spans="1:9" x14ac:dyDescent="0.3">
      <c r="A156" s="2">
        <v>240568</v>
      </c>
      <c r="B156" s="2" t="s">
        <v>178</v>
      </c>
      <c r="C156" s="2" t="s">
        <v>59</v>
      </c>
      <c r="D156" s="2" t="s">
        <v>29</v>
      </c>
      <c r="E156" s="3">
        <v>6.93</v>
      </c>
      <c r="F156" s="2">
        <v>78.45</v>
      </c>
      <c r="G156" s="2" t="str">
        <f t="shared" si="10"/>
        <v>Medium</v>
      </c>
      <c r="H156" s="3" t="str">
        <f t="shared" si="11"/>
        <v>Pass</v>
      </c>
      <c r="I156" s="3">
        <f t="shared" si="12"/>
        <v>11.320346320346321</v>
      </c>
    </row>
    <row r="157" spans="1:9" x14ac:dyDescent="0.3">
      <c r="A157" s="2">
        <v>240569</v>
      </c>
      <c r="B157" s="2" t="s">
        <v>179</v>
      </c>
      <c r="C157" s="2" t="s">
        <v>34</v>
      </c>
      <c r="D157" s="2" t="s">
        <v>29</v>
      </c>
      <c r="E157" s="3">
        <v>5.14</v>
      </c>
      <c r="F157" s="2">
        <v>70.2</v>
      </c>
      <c r="G157" s="2" t="str">
        <f t="shared" si="10"/>
        <v>Medium</v>
      </c>
      <c r="H157" s="3" t="str">
        <f t="shared" si="11"/>
        <v>Pass</v>
      </c>
      <c r="I157" s="3">
        <f t="shared" si="12"/>
        <v>13.657587548638134</v>
      </c>
    </row>
    <row r="158" spans="1:9" x14ac:dyDescent="0.3">
      <c r="A158" s="2">
        <v>240570</v>
      </c>
      <c r="B158" s="2" t="s">
        <v>180</v>
      </c>
      <c r="C158" s="2" t="s">
        <v>54</v>
      </c>
      <c r="D158" s="2" t="s">
        <v>29</v>
      </c>
      <c r="E158" s="3">
        <v>8.39</v>
      </c>
      <c r="F158" s="2">
        <v>83.37</v>
      </c>
      <c r="G158" s="2" t="str">
        <f t="shared" si="10"/>
        <v>High</v>
      </c>
      <c r="H158" s="3" t="str">
        <f t="shared" si="11"/>
        <v>Pass</v>
      </c>
      <c r="I158" s="3">
        <f t="shared" si="12"/>
        <v>9.9368295589988076</v>
      </c>
    </row>
    <row r="159" spans="1:9" x14ac:dyDescent="0.3">
      <c r="A159" s="2">
        <v>240571</v>
      </c>
      <c r="B159" s="2" t="s">
        <v>181</v>
      </c>
      <c r="C159" s="2" t="s">
        <v>54</v>
      </c>
      <c r="D159" s="2" t="s">
        <v>90</v>
      </c>
      <c r="E159" s="3">
        <v>6.18</v>
      </c>
      <c r="F159" s="2">
        <v>75.52</v>
      </c>
      <c r="G159" s="2" t="str">
        <f t="shared" si="10"/>
        <v>Medium</v>
      </c>
      <c r="H159" s="3" t="str">
        <f t="shared" si="11"/>
        <v>Pass</v>
      </c>
      <c r="I159" s="3">
        <f t="shared" si="12"/>
        <v>12.220064724919094</v>
      </c>
    </row>
    <row r="160" spans="1:9" x14ac:dyDescent="0.3">
      <c r="A160" s="2">
        <v>240572</v>
      </c>
      <c r="B160" s="2" t="s">
        <v>182</v>
      </c>
      <c r="C160" s="2" t="s">
        <v>78</v>
      </c>
      <c r="D160" s="2" t="s">
        <v>90</v>
      </c>
      <c r="E160" s="3">
        <v>7.53</v>
      </c>
      <c r="F160" s="2">
        <v>81.569999999999993</v>
      </c>
      <c r="G160" s="2" t="str">
        <f t="shared" si="10"/>
        <v>High</v>
      </c>
      <c r="H160" s="3" t="str">
        <f t="shared" si="11"/>
        <v>Pass</v>
      </c>
      <c r="I160" s="3">
        <f t="shared" si="12"/>
        <v>10.832669322709162</v>
      </c>
    </row>
    <row r="161" spans="1:9" x14ac:dyDescent="0.3">
      <c r="A161" s="2">
        <v>240573</v>
      </c>
      <c r="B161" s="2" t="s">
        <v>183</v>
      </c>
      <c r="C161" s="2" t="s">
        <v>78</v>
      </c>
      <c r="D161" s="2" t="s">
        <v>90</v>
      </c>
      <c r="E161" s="3">
        <v>7.86</v>
      </c>
      <c r="F161" s="2">
        <v>80.72</v>
      </c>
      <c r="G161" s="2" t="str">
        <f t="shared" si="10"/>
        <v>High</v>
      </c>
      <c r="H161" s="3" t="str">
        <f t="shared" si="11"/>
        <v>Pass</v>
      </c>
      <c r="I161" s="3">
        <f t="shared" si="12"/>
        <v>10.26972010178117</v>
      </c>
    </row>
    <row r="162" spans="1:9" x14ac:dyDescent="0.3">
      <c r="A162" s="2">
        <v>240574</v>
      </c>
      <c r="B162" s="2" t="s">
        <v>184</v>
      </c>
      <c r="C162" s="2" t="s">
        <v>5</v>
      </c>
      <c r="D162" s="2" t="s">
        <v>90</v>
      </c>
      <c r="E162" s="3">
        <v>7.7</v>
      </c>
      <c r="F162" s="2">
        <v>80.81</v>
      </c>
      <c r="G162" s="2" t="str">
        <f t="shared" ref="G162:G193" si="13">IF(F162&gt;=80,"High",IF(F162&gt;=60,"Medium","Low"))</f>
        <v>High</v>
      </c>
      <c r="H162" s="3" t="str">
        <f t="shared" ref="H162:H193" si="14">IF(F162&gt;=40,"Pass","Fail")</f>
        <v>Pass</v>
      </c>
      <c r="I162" s="3">
        <f t="shared" si="12"/>
        <v>10.494805194805195</v>
      </c>
    </row>
    <row r="163" spans="1:9" x14ac:dyDescent="0.3">
      <c r="A163" s="2">
        <v>240575</v>
      </c>
      <c r="B163" s="2" t="s">
        <v>185</v>
      </c>
      <c r="C163" s="2" t="s">
        <v>5</v>
      </c>
      <c r="D163" s="2" t="s">
        <v>90</v>
      </c>
      <c r="E163" s="3">
        <v>7.3</v>
      </c>
      <c r="F163" s="2">
        <v>79.489999999999995</v>
      </c>
      <c r="G163" s="2" t="str">
        <f t="shared" si="13"/>
        <v>Medium</v>
      </c>
      <c r="H163" s="3" t="str">
        <f t="shared" si="14"/>
        <v>Pass</v>
      </c>
      <c r="I163" s="3">
        <f t="shared" si="12"/>
        <v>10.889041095890411</v>
      </c>
    </row>
    <row r="164" spans="1:9" x14ac:dyDescent="0.3">
      <c r="A164" s="2">
        <v>240576</v>
      </c>
      <c r="B164" s="2" t="s">
        <v>186</v>
      </c>
      <c r="C164" s="2" t="s">
        <v>5</v>
      </c>
      <c r="D164" s="2" t="s">
        <v>90</v>
      </c>
      <c r="E164" s="3">
        <v>7.79</v>
      </c>
      <c r="F164" s="2">
        <v>79.17</v>
      </c>
      <c r="G164" s="2" t="str">
        <f t="shared" si="13"/>
        <v>Medium</v>
      </c>
      <c r="H164" s="3" t="str">
        <f t="shared" si="14"/>
        <v>Pass</v>
      </c>
      <c r="I164" s="3">
        <f t="shared" si="12"/>
        <v>10.163029525032092</v>
      </c>
    </row>
    <row r="165" spans="1:9" x14ac:dyDescent="0.3">
      <c r="A165" s="2">
        <v>240577</v>
      </c>
      <c r="B165" s="2" t="s">
        <v>187</v>
      </c>
      <c r="C165" s="2" t="s">
        <v>5</v>
      </c>
      <c r="D165" s="2" t="s">
        <v>90</v>
      </c>
      <c r="E165" s="3">
        <v>6.75</v>
      </c>
      <c r="F165" s="2">
        <v>77.069999999999993</v>
      </c>
      <c r="G165" s="2" t="str">
        <f t="shared" si="13"/>
        <v>Medium</v>
      </c>
      <c r="H165" s="3" t="str">
        <f t="shared" si="14"/>
        <v>Pass</v>
      </c>
      <c r="I165" s="3">
        <f t="shared" si="12"/>
        <v>11.417777777777777</v>
      </c>
    </row>
    <row r="166" spans="1:9" x14ac:dyDescent="0.3">
      <c r="A166" s="2">
        <v>240578</v>
      </c>
      <c r="B166" s="2" t="s">
        <v>188</v>
      </c>
      <c r="C166" s="2" t="s">
        <v>34</v>
      </c>
      <c r="D166" s="2" t="s">
        <v>90</v>
      </c>
      <c r="E166" s="3">
        <v>7.87</v>
      </c>
      <c r="F166" s="2">
        <v>82.04</v>
      </c>
      <c r="G166" s="2" t="str">
        <f t="shared" si="13"/>
        <v>High</v>
      </c>
      <c r="H166" s="3" t="str">
        <f t="shared" si="14"/>
        <v>Pass</v>
      </c>
      <c r="I166" s="3">
        <f t="shared" si="12"/>
        <v>10.424396442185515</v>
      </c>
    </row>
    <row r="167" spans="1:9" x14ac:dyDescent="0.3">
      <c r="A167" s="2">
        <v>240579</v>
      </c>
      <c r="B167" s="2" t="s">
        <v>189</v>
      </c>
      <c r="C167" s="2" t="s">
        <v>34</v>
      </c>
      <c r="D167" s="2" t="s">
        <v>90</v>
      </c>
      <c r="E167" s="3">
        <v>5.38</v>
      </c>
      <c r="F167" s="2">
        <v>71.94</v>
      </c>
      <c r="G167" s="2" t="str">
        <f t="shared" si="13"/>
        <v>Medium</v>
      </c>
      <c r="H167" s="3" t="str">
        <f t="shared" si="14"/>
        <v>Pass</v>
      </c>
      <c r="I167" s="3">
        <f t="shared" si="12"/>
        <v>13.37174721189591</v>
      </c>
    </row>
    <row r="168" spans="1:9" x14ac:dyDescent="0.3">
      <c r="A168" s="2">
        <v>240580</v>
      </c>
      <c r="B168" s="2" t="s">
        <v>190</v>
      </c>
      <c r="C168" s="2" t="s">
        <v>34</v>
      </c>
      <c r="D168" s="2" t="s">
        <v>90</v>
      </c>
      <c r="E168" s="3">
        <v>7.8</v>
      </c>
      <c r="F168" s="2">
        <v>81.599999999999994</v>
      </c>
      <c r="G168" s="2" t="str">
        <f t="shared" si="13"/>
        <v>High</v>
      </c>
      <c r="H168" s="3" t="str">
        <f t="shared" si="14"/>
        <v>Pass</v>
      </c>
      <c r="I168" s="3">
        <f t="shared" si="12"/>
        <v>10.461538461538462</v>
      </c>
    </row>
    <row r="169" spans="1:9" x14ac:dyDescent="0.3">
      <c r="A169" s="2">
        <v>240581</v>
      </c>
      <c r="B169" s="2" t="s">
        <v>191</v>
      </c>
      <c r="C169" s="2" t="s">
        <v>5</v>
      </c>
      <c r="D169" s="2" t="s">
        <v>90</v>
      </c>
      <c r="E169" s="3">
        <v>5.07</v>
      </c>
      <c r="F169" s="2">
        <v>70.790000000000006</v>
      </c>
      <c r="G169" s="2" t="str">
        <f t="shared" si="13"/>
        <v>Medium</v>
      </c>
      <c r="H169" s="3" t="str">
        <f t="shared" si="14"/>
        <v>Pass</v>
      </c>
      <c r="I169" s="3">
        <f t="shared" si="12"/>
        <v>13.962524654832347</v>
      </c>
    </row>
    <row r="170" spans="1:9" x14ac:dyDescent="0.3">
      <c r="A170" s="2">
        <v>240582</v>
      </c>
      <c r="B170" s="2" t="s">
        <v>192</v>
      </c>
      <c r="C170" s="2" t="s">
        <v>78</v>
      </c>
      <c r="D170" s="2" t="s">
        <v>90</v>
      </c>
      <c r="E170" s="3">
        <v>7.95</v>
      </c>
      <c r="F170" s="2">
        <v>82.68</v>
      </c>
      <c r="G170" s="2" t="str">
        <f t="shared" si="13"/>
        <v>High</v>
      </c>
      <c r="H170" s="3" t="str">
        <f t="shared" si="14"/>
        <v>Pass</v>
      </c>
      <c r="I170" s="3">
        <f t="shared" si="12"/>
        <v>10.4</v>
      </c>
    </row>
    <row r="171" spans="1:9" x14ac:dyDescent="0.3">
      <c r="A171" s="2">
        <v>240583</v>
      </c>
      <c r="B171" s="2" t="s">
        <v>193</v>
      </c>
      <c r="C171" s="2"/>
      <c r="D171" s="2" t="s">
        <v>139</v>
      </c>
      <c r="E171" s="3">
        <v>8.35</v>
      </c>
      <c r="F171" s="2">
        <v>83.08</v>
      </c>
      <c r="G171" s="2" t="str">
        <f t="shared" si="13"/>
        <v>High</v>
      </c>
      <c r="H171" s="3" t="str">
        <f t="shared" si="14"/>
        <v>Pass</v>
      </c>
      <c r="I171" s="3">
        <f t="shared" si="12"/>
        <v>9.9497005988023961</v>
      </c>
    </row>
    <row r="172" spans="1:9" x14ac:dyDescent="0.3">
      <c r="A172" s="2">
        <v>240584</v>
      </c>
      <c r="B172" s="2" t="s">
        <v>194</v>
      </c>
      <c r="C172" s="2" t="s">
        <v>5</v>
      </c>
      <c r="D172" s="2" t="s">
        <v>139</v>
      </c>
      <c r="E172" s="3">
        <v>5.19</v>
      </c>
      <c r="F172" s="2">
        <v>71.180000000000007</v>
      </c>
      <c r="G172" s="2" t="str">
        <f t="shared" si="13"/>
        <v>Medium</v>
      </c>
      <c r="H172" s="3" t="str">
        <f t="shared" si="14"/>
        <v>Pass</v>
      </c>
      <c r="I172" s="3">
        <f t="shared" si="12"/>
        <v>13.714836223506744</v>
      </c>
    </row>
    <row r="173" spans="1:9" x14ac:dyDescent="0.3">
      <c r="A173" s="2">
        <v>240585</v>
      </c>
      <c r="B173" s="2" t="s">
        <v>195</v>
      </c>
      <c r="C173" s="2" t="s">
        <v>46</v>
      </c>
      <c r="D173" s="2" t="s">
        <v>139</v>
      </c>
      <c r="E173" s="3">
        <v>7.19</v>
      </c>
      <c r="F173" s="2">
        <v>77.63</v>
      </c>
      <c r="G173" s="2" t="str">
        <f t="shared" si="13"/>
        <v>Medium</v>
      </c>
      <c r="H173" s="3" t="str">
        <f t="shared" si="14"/>
        <v>Pass</v>
      </c>
      <c r="I173" s="3">
        <f t="shared" si="12"/>
        <v>10.79694019471488</v>
      </c>
    </row>
    <row r="174" spans="1:9" x14ac:dyDescent="0.3">
      <c r="A174" s="2">
        <v>240586</v>
      </c>
      <c r="B174" s="2" t="s">
        <v>196</v>
      </c>
      <c r="C174" s="2" t="s">
        <v>46</v>
      </c>
      <c r="D174" s="2" t="s">
        <v>139</v>
      </c>
      <c r="E174" s="3">
        <v>7.35</v>
      </c>
      <c r="F174" s="2">
        <v>77.78</v>
      </c>
      <c r="G174" s="2" t="str">
        <f t="shared" si="13"/>
        <v>Medium</v>
      </c>
      <c r="H174" s="3" t="str">
        <f t="shared" si="14"/>
        <v>Pass</v>
      </c>
      <c r="I174" s="3">
        <f t="shared" si="12"/>
        <v>10.582312925170068</v>
      </c>
    </row>
    <row r="175" spans="1:9" x14ac:dyDescent="0.3">
      <c r="A175" s="2">
        <v>240587</v>
      </c>
      <c r="B175" s="2" t="s">
        <v>197</v>
      </c>
      <c r="C175" s="2" t="s">
        <v>54</v>
      </c>
      <c r="D175" s="2" t="s">
        <v>139</v>
      </c>
      <c r="E175" s="3">
        <v>5.22</v>
      </c>
      <c r="F175" s="2">
        <v>70.400000000000006</v>
      </c>
      <c r="G175" s="2" t="str">
        <f t="shared" si="13"/>
        <v>Medium</v>
      </c>
      <c r="H175" s="3" t="str">
        <f t="shared" si="14"/>
        <v>Pass</v>
      </c>
      <c r="I175" s="3">
        <f t="shared" si="12"/>
        <v>13.486590038314178</v>
      </c>
    </row>
    <row r="176" spans="1:9" x14ac:dyDescent="0.3">
      <c r="A176" s="2">
        <v>240588</v>
      </c>
      <c r="B176" s="2" t="s">
        <v>198</v>
      </c>
      <c r="C176" s="2" t="s">
        <v>34</v>
      </c>
      <c r="D176" s="2" t="s">
        <v>139</v>
      </c>
      <c r="E176" s="3">
        <v>5.39</v>
      </c>
      <c r="F176" s="2">
        <v>73.02</v>
      </c>
      <c r="G176" s="2" t="str">
        <f t="shared" si="13"/>
        <v>Medium</v>
      </c>
      <c r="H176" s="3" t="str">
        <f t="shared" si="14"/>
        <v>Pass</v>
      </c>
      <c r="I176" s="3">
        <f t="shared" si="12"/>
        <v>13.547309833024119</v>
      </c>
    </row>
    <row r="177" spans="1:9" x14ac:dyDescent="0.3">
      <c r="A177" s="2">
        <v>240589</v>
      </c>
      <c r="B177" s="2" t="s">
        <v>199</v>
      </c>
      <c r="C177" s="2" t="s">
        <v>34</v>
      </c>
      <c r="D177" s="2" t="s">
        <v>123</v>
      </c>
      <c r="E177" s="3">
        <v>5.39</v>
      </c>
      <c r="F177" s="2">
        <v>71.11</v>
      </c>
      <c r="G177" s="2" t="str">
        <f t="shared" si="13"/>
        <v>Medium</v>
      </c>
      <c r="H177" s="3" t="str">
        <f t="shared" si="14"/>
        <v>Pass</v>
      </c>
      <c r="I177" s="3">
        <f t="shared" si="12"/>
        <v>13.192949907235622</v>
      </c>
    </row>
    <row r="178" spans="1:9" x14ac:dyDescent="0.3">
      <c r="A178" s="2">
        <v>240590</v>
      </c>
      <c r="B178" s="2" t="s">
        <v>200</v>
      </c>
      <c r="C178" s="2" t="s">
        <v>34</v>
      </c>
      <c r="D178" s="2" t="s">
        <v>123</v>
      </c>
      <c r="E178" s="3">
        <v>8.93</v>
      </c>
      <c r="F178" s="2">
        <v>85.96</v>
      </c>
      <c r="G178" s="2" t="str">
        <f t="shared" si="13"/>
        <v>High</v>
      </c>
      <c r="H178" s="3" t="str">
        <f t="shared" si="14"/>
        <v>Pass</v>
      </c>
      <c r="I178" s="3">
        <f t="shared" si="12"/>
        <v>9.6259798432250836</v>
      </c>
    </row>
    <row r="179" spans="1:9" x14ac:dyDescent="0.3">
      <c r="A179" s="2">
        <v>240591</v>
      </c>
      <c r="B179" s="2" t="s">
        <v>142</v>
      </c>
      <c r="C179" s="2" t="s">
        <v>63</v>
      </c>
      <c r="D179" s="2" t="s">
        <v>123</v>
      </c>
      <c r="E179" s="3">
        <v>5.79</v>
      </c>
      <c r="F179" s="2">
        <v>73.64</v>
      </c>
      <c r="G179" s="2" t="str">
        <f t="shared" si="13"/>
        <v>Medium</v>
      </c>
      <c r="H179" s="3" t="str">
        <f t="shared" si="14"/>
        <v>Pass</v>
      </c>
      <c r="I179" s="3">
        <f t="shared" si="12"/>
        <v>12.718480138169257</v>
      </c>
    </row>
    <row r="180" spans="1:9" x14ac:dyDescent="0.3">
      <c r="A180" s="2">
        <v>240592</v>
      </c>
      <c r="B180" s="2" t="s">
        <v>201</v>
      </c>
      <c r="C180" s="2" t="s">
        <v>63</v>
      </c>
      <c r="D180" s="2" t="s">
        <v>123</v>
      </c>
      <c r="E180" s="3">
        <v>8.42</v>
      </c>
      <c r="F180" s="2">
        <v>84.24</v>
      </c>
      <c r="G180" s="2" t="str">
        <f t="shared" si="13"/>
        <v>High</v>
      </c>
      <c r="H180" s="3" t="str">
        <f t="shared" si="14"/>
        <v>Pass</v>
      </c>
      <c r="I180" s="3">
        <f t="shared" si="12"/>
        <v>10.004750593824227</v>
      </c>
    </row>
    <row r="181" spans="1:9" x14ac:dyDescent="0.3">
      <c r="A181" s="2">
        <v>240593</v>
      </c>
      <c r="B181" s="2" t="s">
        <v>202</v>
      </c>
      <c r="C181" s="2" t="s">
        <v>63</v>
      </c>
      <c r="D181" s="2" t="s">
        <v>81</v>
      </c>
      <c r="E181" s="3">
        <v>7.26</v>
      </c>
      <c r="F181" s="2">
        <v>78.17</v>
      </c>
      <c r="G181" s="2" t="str">
        <f t="shared" si="13"/>
        <v>Medium</v>
      </c>
      <c r="H181" s="3" t="str">
        <f t="shared" si="14"/>
        <v>Pass</v>
      </c>
      <c r="I181" s="3">
        <f t="shared" si="12"/>
        <v>10.767217630853995</v>
      </c>
    </row>
    <row r="182" spans="1:9" x14ac:dyDescent="0.3">
      <c r="A182" s="2">
        <v>240594</v>
      </c>
      <c r="B182" s="2" t="s">
        <v>203</v>
      </c>
      <c r="C182" s="2" t="s">
        <v>63</v>
      </c>
      <c r="D182" s="2" t="s">
        <v>81</v>
      </c>
      <c r="E182" s="3">
        <v>6.97</v>
      </c>
      <c r="F182" s="2">
        <v>77.19</v>
      </c>
      <c r="G182" s="2" t="str">
        <f t="shared" si="13"/>
        <v>Medium</v>
      </c>
      <c r="H182" s="3" t="str">
        <f t="shared" si="14"/>
        <v>Pass</v>
      </c>
      <c r="I182" s="3">
        <f t="shared" si="12"/>
        <v>11.074605451936872</v>
      </c>
    </row>
    <row r="183" spans="1:9" x14ac:dyDescent="0.3">
      <c r="A183" s="2">
        <v>240595</v>
      </c>
      <c r="B183" s="2" t="s">
        <v>204</v>
      </c>
      <c r="C183" s="2" t="s">
        <v>46</v>
      </c>
      <c r="D183" s="2" t="s">
        <v>81</v>
      </c>
      <c r="E183" s="3">
        <v>5.55</v>
      </c>
      <c r="F183" s="2">
        <v>71.83</v>
      </c>
      <c r="G183" s="2" t="str">
        <f t="shared" si="13"/>
        <v>Medium</v>
      </c>
      <c r="H183" s="3" t="str">
        <f t="shared" si="14"/>
        <v>Pass</v>
      </c>
      <c r="I183" s="3">
        <f t="shared" si="12"/>
        <v>12.942342342342343</v>
      </c>
    </row>
    <row r="184" spans="1:9" x14ac:dyDescent="0.3">
      <c r="A184" s="2">
        <v>240596</v>
      </c>
      <c r="B184" s="2" t="s">
        <v>205</v>
      </c>
      <c r="C184" s="2" t="s">
        <v>54</v>
      </c>
      <c r="D184" s="2" t="s">
        <v>81</v>
      </c>
      <c r="E184" s="3">
        <v>8.66</v>
      </c>
      <c r="F184" s="2">
        <v>86.99</v>
      </c>
      <c r="G184" s="2" t="str">
        <f t="shared" si="13"/>
        <v>High</v>
      </c>
      <c r="H184" s="3" t="str">
        <f t="shared" si="14"/>
        <v>Pass</v>
      </c>
      <c r="I184" s="3">
        <f t="shared" si="12"/>
        <v>10.045034642032332</v>
      </c>
    </row>
    <row r="185" spans="1:9" x14ac:dyDescent="0.3">
      <c r="A185" s="2">
        <v>240597</v>
      </c>
      <c r="B185" s="2" t="s">
        <v>206</v>
      </c>
      <c r="C185" s="2" t="s">
        <v>34</v>
      </c>
      <c r="D185" s="2" t="s">
        <v>81</v>
      </c>
      <c r="E185" s="3">
        <v>8.61</v>
      </c>
      <c r="F185" s="2">
        <v>83.87</v>
      </c>
      <c r="G185" s="2" t="str">
        <f t="shared" si="13"/>
        <v>High</v>
      </c>
      <c r="H185" s="3" t="str">
        <f t="shared" si="14"/>
        <v>Pass</v>
      </c>
      <c r="I185" s="3">
        <f t="shared" si="12"/>
        <v>9.7409988385598147</v>
      </c>
    </row>
    <row r="186" spans="1:9" x14ac:dyDescent="0.3">
      <c r="A186" s="2">
        <v>240598</v>
      </c>
      <c r="B186" s="2" t="s">
        <v>207</v>
      </c>
      <c r="C186" s="2" t="s">
        <v>34</v>
      </c>
      <c r="D186" s="2" t="s">
        <v>81</v>
      </c>
      <c r="E186" s="3">
        <v>5.22</v>
      </c>
      <c r="F186" s="2">
        <v>71.5</v>
      </c>
      <c r="G186" s="2" t="str">
        <f t="shared" si="13"/>
        <v>Medium</v>
      </c>
      <c r="H186" s="3" t="str">
        <f t="shared" si="14"/>
        <v>Pass</v>
      </c>
      <c r="I186" s="3">
        <f t="shared" si="12"/>
        <v>13.697318007662837</v>
      </c>
    </row>
    <row r="187" spans="1:9" x14ac:dyDescent="0.3">
      <c r="A187" s="2">
        <v>240599</v>
      </c>
      <c r="B187" s="2" t="s">
        <v>208</v>
      </c>
      <c r="C187" s="2" t="s">
        <v>34</v>
      </c>
      <c r="D187" s="2" t="s">
        <v>29</v>
      </c>
      <c r="E187" s="3">
        <v>8.0500000000000007</v>
      </c>
      <c r="F187" s="2">
        <v>79.63</v>
      </c>
      <c r="G187" s="2" t="str">
        <f t="shared" si="13"/>
        <v>Medium</v>
      </c>
      <c r="H187" s="3" t="str">
        <f t="shared" si="14"/>
        <v>Pass</v>
      </c>
      <c r="I187" s="3">
        <f t="shared" si="12"/>
        <v>9.8919254658385078</v>
      </c>
    </row>
    <row r="188" spans="1:9" x14ac:dyDescent="0.3">
      <c r="A188" s="2">
        <v>240600</v>
      </c>
      <c r="B188" s="2" t="s">
        <v>209</v>
      </c>
      <c r="C188" s="2" t="s">
        <v>34</v>
      </c>
      <c r="D188" s="2" t="s">
        <v>29</v>
      </c>
      <c r="E188" s="3">
        <v>8.8699999999999992</v>
      </c>
      <c r="F188" s="2">
        <v>85.1</v>
      </c>
      <c r="G188" s="2" t="str">
        <f t="shared" si="13"/>
        <v>High</v>
      </c>
      <c r="H188" s="3" t="str">
        <f t="shared" si="14"/>
        <v>Pass</v>
      </c>
      <c r="I188" s="3">
        <f t="shared" si="12"/>
        <v>9.5941375422773394</v>
      </c>
    </row>
    <row r="189" spans="1:9" x14ac:dyDescent="0.3">
      <c r="A189" s="2">
        <v>240601</v>
      </c>
      <c r="B189" s="2" t="s">
        <v>210</v>
      </c>
      <c r="C189" s="2" t="s">
        <v>34</v>
      </c>
      <c r="D189" s="2" t="s">
        <v>29</v>
      </c>
      <c r="E189" s="3">
        <v>5.54</v>
      </c>
      <c r="F189" s="2">
        <v>72.010000000000005</v>
      </c>
      <c r="G189" s="2" t="str">
        <f t="shared" si="13"/>
        <v>Medium</v>
      </c>
      <c r="H189" s="3" t="str">
        <f t="shared" si="14"/>
        <v>Pass</v>
      </c>
      <c r="I189" s="3">
        <f t="shared" si="12"/>
        <v>12.998194945848375</v>
      </c>
    </row>
    <row r="190" spans="1:9" x14ac:dyDescent="0.3">
      <c r="A190" s="2">
        <v>240602</v>
      </c>
      <c r="B190" s="2" t="s">
        <v>211</v>
      </c>
      <c r="C190" s="2" t="s">
        <v>46</v>
      </c>
      <c r="D190" s="2" t="s">
        <v>29</v>
      </c>
      <c r="E190" s="3">
        <v>6.9959487179487185</v>
      </c>
      <c r="F190" s="2">
        <v>77.27</v>
      </c>
      <c r="G190" s="2" t="str">
        <f t="shared" si="13"/>
        <v>Medium</v>
      </c>
      <c r="H190" s="3" t="str">
        <f t="shared" si="14"/>
        <v>Pass</v>
      </c>
      <c r="I190" s="3">
        <f t="shared" si="12"/>
        <v>11.044963751915025</v>
      </c>
    </row>
    <row r="191" spans="1:9" x14ac:dyDescent="0.3">
      <c r="A191" s="2">
        <v>240603</v>
      </c>
      <c r="B191" s="2" t="s">
        <v>212</v>
      </c>
      <c r="C191" s="2" t="s">
        <v>46</v>
      </c>
      <c r="D191" s="2" t="s">
        <v>29</v>
      </c>
      <c r="E191" s="3">
        <v>7.26</v>
      </c>
      <c r="F191" s="2">
        <v>79.87</v>
      </c>
      <c r="G191" s="2" t="str">
        <f t="shared" si="13"/>
        <v>Medium</v>
      </c>
      <c r="H191" s="3" t="str">
        <f t="shared" si="14"/>
        <v>Pass</v>
      </c>
      <c r="I191" s="3">
        <f t="shared" si="12"/>
        <v>11.00137741046832</v>
      </c>
    </row>
    <row r="192" spans="1:9" x14ac:dyDescent="0.3">
      <c r="A192" s="2">
        <v>240604</v>
      </c>
      <c r="B192" s="2" t="s">
        <v>213</v>
      </c>
      <c r="C192" s="2" t="s">
        <v>78</v>
      </c>
      <c r="D192" s="2" t="s">
        <v>29</v>
      </c>
      <c r="E192" s="3">
        <v>5.79</v>
      </c>
      <c r="F192" s="2">
        <v>73.14</v>
      </c>
      <c r="G192" s="2" t="str">
        <f t="shared" si="13"/>
        <v>Medium</v>
      </c>
      <c r="H192" s="3" t="str">
        <f t="shared" si="14"/>
        <v>Pass</v>
      </c>
      <c r="I192" s="3">
        <f t="shared" si="12"/>
        <v>12.632124352331607</v>
      </c>
    </row>
    <row r="193" spans="1:9" x14ac:dyDescent="0.3">
      <c r="A193" s="2">
        <v>240605</v>
      </c>
      <c r="B193" s="2" t="s">
        <v>214</v>
      </c>
      <c r="C193" s="2" t="s">
        <v>59</v>
      </c>
      <c r="D193" s="2" t="s">
        <v>29</v>
      </c>
      <c r="E193" s="3">
        <v>5.22</v>
      </c>
      <c r="F193" s="2">
        <v>70.510000000000005</v>
      </c>
      <c r="G193" s="2" t="str">
        <f t="shared" si="13"/>
        <v>Medium</v>
      </c>
      <c r="H193" s="3" t="str">
        <f t="shared" si="14"/>
        <v>Pass</v>
      </c>
      <c r="I193" s="3">
        <f t="shared" si="12"/>
        <v>13.507662835249043</v>
      </c>
    </row>
    <row r="194" spans="1:9" x14ac:dyDescent="0.3">
      <c r="A194" s="2">
        <v>240606</v>
      </c>
      <c r="B194" s="2" t="s">
        <v>215</v>
      </c>
      <c r="C194" s="2" t="s">
        <v>34</v>
      </c>
      <c r="D194" s="2" t="s">
        <v>29</v>
      </c>
      <c r="E194" s="3">
        <v>8.7100000000000009</v>
      </c>
      <c r="F194" s="2">
        <v>84.03</v>
      </c>
      <c r="G194" s="2" t="str">
        <f t="shared" ref="G194:G225" si="15">IF(F194&gt;=80,"High",IF(F194&gt;=60,"Medium","Low"))</f>
        <v>High</v>
      </c>
      <c r="H194" s="3" t="str">
        <f t="shared" ref="H194:H201" si="16">IF(F194&gt;=40,"Pass","Fail")</f>
        <v>Pass</v>
      </c>
      <c r="I194" s="3">
        <f t="shared" ref="I194:I201" si="17">F194/E194</f>
        <v>9.6475315729047058</v>
      </c>
    </row>
    <row r="195" spans="1:9" x14ac:dyDescent="0.3">
      <c r="A195" s="2">
        <v>240607</v>
      </c>
      <c r="B195" s="2" t="s">
        <v>216</v>
      </c>
      <c r="C195" s="2" t="s">
        <v>34</v>
      </c>
      <c r="D195" s="2" t="s">
        <v>29</v>
      </c>
      <c r="E195" s="3">
        <v>7.55</v>
      </c>
      <c r="F195" s="2">
        <v>79.64</v>
      </c>
      <c r="G195" s="2" t="str">
        <f t="shared" si="15"/>
        <v>Medium</v>
      </c>
      <c r="H195" s="3" t="str">
        <f t="shared" si="16"/>
        <v>Pass</v>
      </c>
      <c r="I195" s="3">
        <f t="shared" si="17"/>
        <v>10.548344370860928</v>
      </c>
    </row>
    <row r="196" spans="1:9" x14ac:dyDescent="0.3">
      <c r="A196" s="2">
        <v>240608</v>
      </c>
      <c r="B196" s="2" t="s">
        <v>217</v>
      </c>
      <c r="C196" s="2" t="s">
        <v>34</v>
      </c>
      <c r="D196" s="2" t="s">
        <v>29</v>
      </c>
      <c r="E196" s="3">
        <v>6.35</v>
      </c>
      <c r="F196" s="2">
        <v>74.239999999999995</v>
      </c>
      <c r="G196" s="2" t="str">
        <f t="shared" si="15"/>
        <v>Medium</v>
      </c>
      <c r="H196" s="3" t="str">
        <f t="shared" si="16"/>
        <v>Pass</v>
      </c>
      <c r="I196" s="3">
        <f t="shared" si="17"/>
        <v>11.691338582677165</v>
      </c>
    </row>
    <row r="197" spans="1:9" x14ac:dyDescent="0.3">
      <c r="A197" s="2">
        <v>240609</v>
      </c>
      <c r="B197" s="2" t="s">
        <v>218</v>
      </c>
      <c r="C197" s="2" t="s">
        <v>34</v>
      </c>
      <c r="D197" s="2" t="s">
        <v>139</v>
      </c>
      <c r="E197" s="3">
        <v>7.53</v>
      </c>
      <c r="F197" s="2">
        <v>81.67</v>
      </c>
      <c r="G197" s="2" t="str">
        <f t="shared" si="15"/>
        <v>High</v>
      </c>
      <c r="H197" s="3" t="str">
        <f t="shared" si="16"/>
        <v>Pass</v>
      </c>
      <c r="I197" s="3">
        <f t="shared" si="17"/>
        <v>10.845949535192563</v>
      </c>
    </row>
    <row r="198" spans="1:9" x14ac:dyDescent="0.3">
      <c r="A198" s="2">
        <v>240610</v>
      </c>
      <c r="B198" s="2" t="s">
        <v>219</v>
      </c>
      <c r="C198" s="2" t="s">
        <v>34</v>
      </c>
      <c r="D198" s="2" t="s">
        <v>139</v>
      </c>
      <c r="E198" s="3">
        <v>8.56</v>
      </c>
      <c r="F198" s="2">
        <v>84.68</v>
      </c>
      <c r="G198" s="2" t="str">
        <f t="shared" si="15"/>
        <v>High</v>
      </c>
      <c r="H198" s="3" t="str">
        <f t="shared" si="16"/>
        <v>Pass</v>
      </c>
      <c r="I198" s="3">
        <f t="shared" si="17"/>
        <v>9.8925233644859816</v>
      </c>
    </row>
    <row r="199" spans="1:9" x14ac:dyDescent="0.3">
      <c r="A199" s="2">
        <v>240611</v>
      </c>
      <c r="B199" s="2" t="s">
        <v>220</v>
      </c>
      <c r="C199" s="2" t="s">
        <v>54</v>
      </c>
      <c r="D199" s="2" t="s">
        <v>139</v>
      </c>
      <c r="E199" s="3">
        <v>8.94</v>
      </c>
      <c r="F199" s="2">
        <v>86.75</v>
      </c>
      <c r="G199" s="2" t="str">
        <f t="shared" si="15"/>
        <v>High</v>
      </c>
      <c r="H199" s="3" t="str">
        <f t="shared" si="16"/>
        <v>Pass</v>
      </c>
      <c r="I199" s="3">
        <f t="shared" si="17"/>
        <v>9.7035794183445194</v>
      </c>
    </row>
    <row r="200" spans="1:9" x14ac:dyDescent="0.3">
      <c r="A200" s="2">
        <v>240612</v>
      </c>
      <c r="B200" s="2" t="s">
        <v>221</v>
      </c>
      <c r="C200" s="2" t="s">
        <v>54</v>
      </c>
      <c r="D200" s="2" t="s">
        <v>139</v>
      </c>
      <c r="E200" s="3">
        <v>6.6</v>
      </c>
      <c r="F200" s="2">
        <v>78.05</v>
      </c>
      <c r="G200" s="2" t="str">
        <f t="shared" si="15"/>
        <v>Medium</v>
      </c>
      <c r="H200" s="3" t="str">
        <f t="shared" si="16"/>
        <v>Pass</v>
      </c>
      <c r="I200" s="3">
        <f t="shared" si="17"/>
        <v>11.825757575757576</v>
      </c>
    </row>
    <row r="201" spans="1:9" x14ac:dyDescent="0.3">
      <c r="A201" s="2">
        <v>240613</v>
      </c>
      <c r="B201" s="2" t="s">
        <v>222</v>
      </c>
      <c r="C201" s="2" t="s">
        <v>78</v>
      </c>
      <c r="D201" s="2" t="s">
        <v>139</v>
      </c>
      <c r="E201" s="3">
        <v>8.35</v>
      </c>
      <c r="F201" s="2">
        <v>83.5</v>
      </c>
      <c r="G201" s="2" t="str">
        <f t="shared" si="15"/>
        <v>High</v>
      </c>
      <c r="H201" s="3" t="str">
        <f t="shared" si="16"/>
        <v>Pass</v>
      </c>
      <c r="I201" s="3">
        <f t="shared" si="17"/>
        <v>10</v>
      </c>
    </row>
  </sheetData>
  <conditionalFormatting sqref="E1:G1048576 I1:I1048576">
    <cfRule type="dataBar" priority="5">
      <dataBar>
        <cfvo type="min"/>
        <cfvo type="max"/>
        <color rgb="FF63C384"/>
      </dataBar>
      <extLst>
        <ext xmlns:x14="http://schemas.microsoft.com/office/spreadsheetml/2009/9/main" uri="{B025F937-C7B1-47D3-B67F-A62EFF666E3E}">
          <x14:id>{B35F23B2-3C1E-4707-8172-3120572E9FDE}</x14:id>
        </ext>
      </extLst>
    </cfRule>
  </conditionalFormatting>
  <conditionalFormatting sqref="E1:G1048576 I1:I1048576">
    <cfRule type="colorScale" priority="4">
      <colorScale>
        <cfvo type="min"/>
        <cfvo type="percentile" val="50"/>
        <cfvo type="max"/>
        <color rgb="FFF8696B"/>
        <color rgb="FFFFEB84"/>
        <color rgb="FF63BE7B"/>
      </colorScale>
    </cfRule>
  </conditionalFormatting>
  <conditionalFormatting sqref="I1:I1048576">
    <cfRule type="dataBar" priority="3">
      <dataBar>
        <cfvo type="min"/>
        <cfvo type="max"/>
        <color rgb="FFFF555A"/>
      </dataBar>
      <extLst>
        <ext xmlns:x14="http://schemas.microsoft.com/office/spreadsheetml/2009/9/main" uri="{B025F937-C7B1-47D3-B67F-A62EFF666E3E}">
          <x14:id>{D13C8CD4-5393-4BA7-8916-1E248BC287B5}</x14:id>
        </ext>
      </extLst>
    </cfRule>
  </conditionalFormatting>
  <conditionalFormatting sqref="F1:F1048576">
    <cfRule type="dataBar" priority="2">
      <dataBar>
        <cfvo type="min"/>
        <cfvo type="max"/>
        <color rgb="FF638EC6"/>
      </dataBar>
      <extLst>
        <ext xmlns:x14="http://schemas.microsoft.com/office/spreadsheetml/2009/9/main" uri="{B025F937-C7B1-47D3-B67F-A62EFF666E3E}">
          <x14:id>{C42F1DCA-8F61-4A54-B354-AB1B7DEBF3CE}</x14:id>
        </ext>
      </extLst>
    </cfRule>
  </conditionalFormatting>
  <conditionalFormatting sqref="E1:E1048576">
    <cfRule type="dataBar" priority="1">
      <dataBar>
        <cfvo type="min"/>
        <cfvo type="max"/>
        <color rgb="FF63C384"/>
      </dataBar>
      <extLst>
        <ext xmlns:x14="http://schemas.microsoft.com/office/spreadsheetml/2009/9/main" uri="{B025F937-C7B1-47D3-B67F-A62EFF666E3E}">
          <x14:id>{A9F32ECD-9911-48B8-A6F5-FC1F82A04071}</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B35F23B2-3C1E-4707-8172-3120572E9FDE}">
            <x14:dataBar minLength="0" maxLength="100" border="1" negativeBarBorderColorSameAsPositive="0">
              <x14:cfvo type="autoMin"/>
              <x14:cfvo type="autoMax"/>
              <x14:borderColor rgb="FF63C384"/>
              <x14:negativeFillColor rgb="FFFF0000"/>
              <x14:negativeBorderColor rgb="FFFF0000"/>
              <x14:axisColor rgb="FF000000"/>
            </x14:dataBar>
          </x14:cfRule>
          <xm:sqref>E1:G1048576 I1:I1048576</xm:sqref>
        </x14:conditionalFormatting>
        <x14:conditionalFormatting xmlns:xm="http://schemas.microsoft.com/office/excel/2006/main">
          <x14:cfRule type="dataBar" id="{D13C8CD4-5393-4BA7-8916-1E248BC287B5}">
            <x14:dataBar minLength="0" maxLength="100" gradient="0">
              <x14:cfvo type="autoMin"/>
              <x14:cfvo type="autoMax"/>
              <x14:negativeFillColor rgb="FFFF0000"/>
              <x14:axisColor rgb="FF000000"/>
            </x14:dataBar>
          </x14:cfRule>
          <xm:sqref>I1:I1048576</xm:sqref>
        </x14:conditionalFormatting>
        <x14:conditionalFormatting xmlns:xm="http://schemas.microsoft.com/office/excel/2006/main">
          <x14:cfRule type="dataBar" id="{C42F1DCA-8F61-4A54-B354-AB1B7DEBF3CE}">
            <x14:dataBar minLength="0" maxLength="100" border="1" negativeBarBorderColorSameAsPositive="0">
              <x14:cfvo type="autoMin"/>
              <x14:cfvo type="autoMax"/>
              <x14:borderColor rgb="FF638EC6"/>
              <x14:negativeFillColor rgb="FFFF0000"/>
              <x14:negativeBorderColor rgb="FFFF0000"/>
              <x14:axisColor rgb="FF000000"/>
            </x14:dataBar>
          </x14:cfRule>
          <xm:sqref>F1:F1048576</xm:sqref>
        </x14:conditionalFormatting>
        <x14:conditionalFormatting xmlns:xm="http://schemas.microsoft.com/office/excel/2006/main">
          <x14:cfRule type="dataBar" id="{A9F32ECD-9911-48B8-A6F5-FC1F82A04071}">
            <x14:dataBar minLength="0" maxLength="100" border="1" negativeBarBorderColorSameAsPositive="0">
              <x14:cfvo type="autoMin"/>
              <x14:cfvo type="autoMax"/>
              <x14:borderColor rgb="FF63C384"/>
              <x14:negativeFillColor rgb="FFFF0000"/>
              <x14:negativeBorderColor rgb="FFFF0000"/>
              <x14:axisColor rgb="FF000000"/>
            </x14:dataBar>
          </x14:cfRule>
          <xm:sqref>E1:E1048576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8B4AF-6F99-45CA-B182-A556B02E03D1}">
  <dimension ref="A1:B44"/>
  <sheetViews>
    <sheetView zoomScale="39" workbookViewId="0">
      <selection activeCell="A9" sqref="A8:B23"/>
    </sheetView>
  </sheetViews>
  <sheetFormatPr defaultRowHeight="14.4" x14ac:dyDescent="0.3"/>
  <cols>
    <col min="1" max="1" width="21.21875" bestFit="1" customWidth="1"/>
    <col min="2" max="2" width="37.109375" bestFit="1" customWidth="1"/>
  </cols>
  <sheetData>
    <row r="1" spans="1:2" x14ac:dyDescent="0.3">
      <c r="A1" s="4" t="s">
        <v>226</v>
      </c>
      <c r="B1" s="4" t="s">
        <v>227</v>
      </c>
    </row>
    <row r="2" spans="1:2" x14ac:dyDescent="0.3">
      <c r="A2" s="5" t="s">
        <v>228</v>
      </c>
      <c r="B2" s="6">
        <f>AVERAGE(Table!F:F)</f>
        <v>77.933750000000032</v>
      </c>
    </row>
    <row r="3" spans="1:2" x14ac:dyDescent="0.3">
      <c r="A3" s="5" t="s">
        <v>229</v>
      </c>
      <c r="B3" s="5">
        <f>MAX(Table!F:F)</f>
        <v>86.99</v>
      </c>
    </row>
    <row r="4" spans="1:2" x14ac:dyDescent="0.3">
      <c r="A4" s="5" t="s">
        <v>230</v>
      </c>
      <c r="B4" s="5">
        <f>MIN(Table!F:F)</f>
        <v>68.569999999999993</v>
      </c>
    </row>
    <row r="5" spans="1:2" x14ac:dyDescent="0.3">
      <c r="A5" s="5" t="s">
        <v>231</v>
      </c>
      <c r="B5" s="6">
        <f>AVERAGE(Table!E:E)</f>
        <v>6.9959487179487185</v>
      </c>
    </row>
    <row r="8" spans="1:2" x14ac:dyDescent="0.3">
      <c r="A8" s="7" t="s">
        <v>232</v>
      </c>
      <c r="B8" t="s">
        <v>237</v>
      </c>
    </row>
    <row r="9" spans="1:2" x14ac:dyDescent="0.3">
      <c r="A9" s="8" t="s">
        <v>24</v>
      </c>
      <c r="B9" s="9">
        <v>80.784999999999997</v>
      </c>
    </row>
    <row r="10" spans="1:2" x14ac:dyDescent="0.3">
      <c r="A10" s="8" t="s">
        <v>43</v>
      </c>
      <c r="B10" s="9">
        <v>81.22</v>
      </c>
    </row>
    <row r="11" spans="1:2" x14ac:dyDescent="0.3">
      <c r="A11" s="8" t="s">
        <v>19</v>
      </c>
      <c r="B11" s="9">
        <v>79.142499999999998</v>
      </c>
    </row>
    <row r="12" spans="1:2" x14ac:dyDescent="0.3">
      <c r="A12" s="8" t="s">
        <v>78</v>
      </c>
      <c r="B12" s="9">
        <v>79.91705882352943</v>
      </c>
    </row>
    <row r="13" spans="1:2" x14ac:dyDescent="0.3">
      <c r="A13" s="8" t="s">
        <v>13</v>
      </c>
      <c r="B13" s="9">
        <v>76.358333333333334</v>
      </c>
    </row>
    <row r="14" spans="1:2" x14ac:dyDescent="0.3">
      <c r="A14" s="8" t="s">
        <v>59</v>
      </c>
      <c r="B14" s="9">
        <v>77.912916666666675</v>
      </c>
    </row>
    <row r="15" spans="1:2" x14ac:dyDescent="0.3">
      <c r="A15" s="8" t="s">
        <v>34</v>
      </c>
      <c r="B15" s="9">
        <v>79.045490196078433</v>
      </c>
    </row>
    <row r="16" spans="1:2" x14ac:dyDescent="0.3">
      <c r="A16" s="8" t="s">
        <v>46</v>
      </c>
      <c r="B16" s="9">
        <v>76.398421052631591</v>
      </c>
    </row>
    <row r="17" spans="1:2" x14ac:dyDescent="0.3">
      <c r="A17" s="8" t="s">
        <v>5</v>
      </c>
      <c r="B17" s="9">
        <v>75.300000000000011</v>
      </c>
    </row>
    <row r="18" spans="1:2" x14ac:dyDescent="0.3">
      <c r="A18" s="8" t="s">
        <v>63</v>
      </c>
      <c r="B18" s="9">
        <v>76.790000000000006</v>
      </c>
    </row>
    <row r="19" spans="1:2" x14ac:dyDescent="0.3">
      <c r="A19" s="8" t="s">
        <v>9</v>
      </c>
      <c r="B19" s="9">
        <v>78.23</v>
      </c>
    </row>
    <row r="20" spans="1:2" x14ac:dyDescent="0.3">
      <c r="A20" s="8" t="s">
        <v>16</v>
      </c>
      <c r="B20" s="9">
        <v>78.06</v>
      </c>
    </row>
    <row r="21" spans="1:2" x14ac:dyDescent="0.3">
      <c r="A21" s="8" t="s">
        <v>54</v>
      </c>
      <c r="B21" s="9">
        <v>77.067307692307693</v>
      </c>
    </row>
    <row r="22" spans="1:2" x14ac:dyDescent="0.3">
      <c r="A22" s="8" t="s">
        <v>233</v>
      </c>
      <c r="B22" s="9">
        <v>80.333333333333329</v>
      </c>
    </row>
    <row r="23" spans="1:2" x14ac:dyDescent="0.3">
      <c r="A23" s="8" t="s">
        <v>234</v>
      </c>
      <c r="B23" s="9">
        <v>77.933749999999975</v>
      </c>
    </row>
    <row r="27" spans="1:2" x14ac:dyDescent="0.3">
      <c r="A27" s="7" t="s">
        <v>232</v>
      </c>
      <c r="B27" t="s">
        <v>238</v>
      </c>
    </row>
    <row r="28" spans="1:2" x14ac:dyDescent="0.3">
      <c r="A28" s="8" t="s">
        <v>235</v>
      </c>
      <c r="B28" s="9">
        <v>77</v>
      </c>
    </row>
    <row r="29" spans="1:2" x14ac:dyDescent="0.3">
      <c r="A29" s="8" t="s">
        <v>236</v>
      </c>
      <c r="B29" s="9">
        <v>123</v>
      </c>
    </row>
    <row r="30" spans="1:2" x14ac:dyDescent="0.3">
      <c r="A30" s="8" t="s">
        <v>234</v>
      </c>
      <c r="B30" s="9">
        <v>200</v>
      </c>
    </row>
    <row r="34" spans="1:2" x14ac:dyDescent="0.3">
      <c r="A34" s="7" t="s">
        <v>232</v>
      </c>
      <c r="B34" t="s">
        <v>239</v>
      </c>
    </row>
    <row r="35" spans="1:2" x14ac:dyDescent="0.3">
      <c r="A35" s="8" t="s">
        <v>6</v>
      </c>
      <c r="B35" s="1">
        <v>7.396864957264957</v>
      </c>
    </row>
    <row r="36" spans="1:2" x14ac:dyDescent="0.3">
      <c r="A36" s="8" t="s">
        <v>29</v>
      </c>
      <c r="B36" s="1">
        <v>7.0195867269984928</v>
      </c>
    </row>
    <row r="37" spans="1:2" x14ac:dyDescent="0.3">
      <c r="A37" s="8" t="s">
        <v>47</v>
      </c>
      <c r="B37" s="1">
        <v>7.0369981684981671</v>
      </c>
    </row>
    <row r="38" spans="1:2" x14ac:dyDescent="0.3">
      <c r="A38" s="8" t="s">
        <v>104</v>
      </c>
      <c r="B38" s="1">
        <v>6.9204249084249083</v>
      </c>
    </row>
    <row r="39" spans="1:2" x14ac:dyDescent="0.3">
      <c r="A39" s="8" t="s">
        <v>123</v>
      </c>
      <c r="B39" s="1">
        <v>6.7907692307692304</v>
      </c>
    </row>
    <row r="40" spans="1:2" x14ac:dyDescent="0.3">
      <c r="A40" s="8" t="s">
        <v>139</v>
      </c>
      <c r="B40" s="1">
        <v>6.937391304347825</v>
      </c>
    </row>
    <row r="41" spans="1:2" x14ac:dyDescent="0.3">
      <c r="A41" s="8" t="s">
        <v>65</v>
      </c>
      <c r="B41" s="1">
        <v>6.6414285714285715</v>
      </c>
    </row>
    <row r="42" spans="1:2" x14ac:dyDescent="0.3">
      <c r="A42" s="8" t="s">
        <v>81</v>
      </c>
      <c r="B42" s="1">
        <v>7.2003130904183541</v>
      </c>
    </row>
    <row r="43" spans="1:2" x14ac:dyDescent="0.3">
      <c r="A43" s="8" t="s">
        <v>90</v>
      </c>
      <c r="B43" s="1">
        <v>6.6827999999999994</v>
      </c>
    </row>
    <row r="44" spans="1:2" x14ac:dyDescent="0.3">
      <c r="A44" s="8" t="s">
        <v>234</v>
      </c>
      <c r="B44" s="1">
        <v>6.9959487179487168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EC85B-FC9C-47C5-A949-1B0BE8CDE5A5}">
  <dimension ref="A1:O33"/>
  <sheetViews>
    <sheetView showGridLines="0" tabSelected="1" zoomScaleNormal="100" workbookViewId="0">
      <selection activeCell="R23" sqref="R23"/>
    </sheetView>
  </sheetViews>
  <sheetFormatPr defaultRowHeight="14.4" x14ac:dyDescent="0.3"/>
  <cols>
    <col min="15" max="15" width="9.77734375" customWidth="1"/>
  </cols>
  <sheetData>
    <row r="1" spans="1:15" x14ac:dyDescent="0.3">
      <c r="A1" s="10" t="s">
        <v>242</v>
      </c>
      <c r="B1" s="11"/>
      <c r="C1" s="11"/>
      <c r="D1" s="11"/>
      <c r="E1" s="11"/>
      <c r="F1" s="11"/>
      <c r="G1" s="11"/>
      <c r="H1" s="11"/>
      <c r="I1" s="11"/>
      <c r="J1" s="11"/>
      <c r="K1" s="11"/>
      <c r="L1" s="11"/>
      <c r="M1" s="11"/>
      <c r="N1" s="11"/>
      <c r="O1" s="12"/>
    </row>
    <row r="2" spans="1:15" x14ac:dyDescent="0.3">
      <c r="A2" s="13"/>
      <c r="B2" s="14"/>
      <c r="C2" s="14"/>
      <c r="D2" s="14"/>
      <c r="E2" s="14"/>
      <c r="F2" s="14"/>
      <c r="G2" s="14"/>
      <c r="H2" s="14"/>
      <c r="I2" s="14"/>
      <c r="J2" s="14"/>
      <c r="K2" s="14"/>
      <c r="L2" s="14"/>
      <c r="M2" s="14"/>
      <c r="N2" s="14"/>
      <c r="O2" s="15"/>
    </row>
    <row r="3" spans="1:15" x14ac:dyDescent="0.3">
      <c r="A3" s="16"/>
      <c r="B3" s="17"/>
      <c r="C3" s="17"/>
      <c r="D3" s="17"/>
      <c r="E3" s="17"/>
      <c r="F3" s="17"/>
      <c r="G3" s="17"/>
      <c r="H3" s="17"/>
      <c r="I3" s="17"/>
      <c r="J3" s="17"/>
      <c r="K3" s="17"/>
      <c r="L3" s="17"/>
      <c r="M3" s="17"/>
      <c r="N3" s="17"/>
      <c r="O3" s="18"/>
    </row>
    <row r="4" spans="1:15" x14ac:dyDescent="0.3">
      <c r="A4" s="19"/>
      <c r="B4" s="20"/>
      <c r="C4" s="20"/>
      <c r="D4" s="20"/>
      <c r="E4" s="20"/>
      <c r="F4" s="20"/>
      <c r="G4" s="20"/>
      <c r="H4" s="20"/>
      <c r="I4" s="20"/>
      <c r="J4" s="20"/>
      <c r="K4" s="20"/>
      <c r="L4" s="20"/>
      <c r="M4" s="20"/>
      <c r="N4" s="20"/>
      <c r="O4" s="21"/>
    </row>
    <row r="5" spans="1:15" x14ac:dyDescent="0.3">
      <c r="A5" s="19"/>
      <c r="B5" s="20"/>
      <c r="C5" s="20"/>
      <c r="D5" s="20"/>
      <c r="E5" s="20"/>
      <c r="F5" s="20"/>
      <c r="G5" s="20"/>
      <c r="H5" s="20"/>
      <c r="I5" s="20"/>
      <c r="J5" s="20"/>
      <c r="K5" s="20"/>
      <c r="L5" s="20"/>
      <c r="M5" s="20"/>
      <c r="N5" s="20"/>
      <c r="O5" s="21"/>
    </row>
    <row r="6" spans="1:15" x14ac:dyDescent="0.3">
      <c r="A6" s="19"/>
      <c r="B6" s="20"/>
      <c r="C6" s="20"/>
      <c r="D6" s="20"/>
      <c r="E6" s="20"/>
      <c r="F6" s="20"/>
      <c r="G6" s="20"/>
      <c r="H6" s="20"/>
      <c r="I6" s="20"/>
      <c r="J6" s="20"/>
      <c r="K6" s="20"/>
      <c r="L6" s="20"/>
      <c r="M6" s="20"/>
      <c r="N6" s="20"/>
      <c r="O6" s="21"/>
    </row>
    <row r="7" spans="1:15" x14ac:dyDescent="0.3">
      <c r="A7" s="19"/>
      <c r="B7" s="20"/>
      <c r="C7" s="20"/>
      <c r="D7" s="20"/>
      <c r="E7" s="20"/>
      <c r="F7" s="20"/>
      <c r="G7" s="20"/>
      <c r="H7" s="20"/>
      <c r="I7" s="20"/>
      <c r="J7" s="20"/>
      <c r="K7" s="20"/>
      <c r="L7" s="20"/>
      <c r="M7" s="20"/>
      <c r="N7" s="20"/>
      <c r="O7" s="21"/>
    </row>
    <row r="8" spans="1:15" x14ac:dyDescent="0.3">
      <c r="A8" s="19"/>
      <c r="B8" s="20"/>
      <c r="C8" s="20"/>
      <c r="D8" s="20"/>
      <c r="E8" s="20"/>
      <c r="F8" s="20"/>
      <c r="G8" s="20"/>
      <c r="H8" s="20"/>
      <c r="I8" s="20"/>
      <c r="J8" s="20"/>
      <c r="K8" s="20"/>
      <c r="L8" s="20"/>
      <c r="M8" s="20"/>
      <c r="N8" s="20"/>
      <c r="O8" s="21"/>
    </row>
    <row r="9" spans="1:15" x14ac:dyDescent="0.3">
      <c r="A9" s="19"/>
      <c r="B9" s="20"/>
      <c r="C9" s="20"/>
      <c r="D9" s="20"/>
      <c r="E9" s="20"/>
      <c r="F9" s="20"/>
      <c r="G9" s="20"/>
      <c r="H9" s="20"/>
      <c r="I9" s="20"/>
      <c r="J9" s="20"/>
      <c r="K9" s="20"/>
      <c r="L9" s="20"/>
      <c r="M9" s="20"/>
      <c r="N9" s="20"/>
      <c r="O9" s="21"/>
    </row>
    <row r="10" spans="1:15" x14ac:dyDescent="0.3">
      <c r="A10" s="19"/>
      <c r="B10" s="20"/>
      <c r="C10" s="20"/>
      <c r="D10" s="20"/>
      <c r="E10" s="20"/>
      <c r="F10" s="20"/>
      <c r="G10" s="20"/>
      <c r="H10" s="20"/>
      <c r="I10" s="20"/>
      <c r="J10" s="20"/>
      <c r="K10" s="20"/>
      <c r="L10" s="20"/>
      <c r="M10" s="20"/>
      <c r="N10" s="20"/>
      <c r="O10" s="21"/>
    </row>
    <row r="11" spans="1:15" x14ac:dyDescent="0.3">
      <c r="A11" s="19"/>
      <c r="B11" s="20"/>
      <c r="C11" s="20"/>
      <c r="D11" s="20"/>
      <c r="E11" s="20"/>
      <c r="F11" s="20"/>
      <c r="G11" s="20"/>
      <c r="H11" s="20"/>
      <c r="I11" s="20"/>
      <c r="J11" s="20"/>
      <c r="K11" s="20"/>
      <c r="L11" s="20"/>
      <c r="M11" s="20"/>
      <c r="N11" s="20"/>
      <c r="O11" s="21"/>
    </row>
    <row r="12" spans="1:15" x14ac:dyDescent="0.3">
      <c r="A12" s="19"/>
      <c r="B12" s="20"/>
      <c r="C12" s="20"/>
      <c r="D12" s="20"/>
      <c r="E12" s="20"/>
      <c r="F12" s="20"/>
      <c r="G12" s="20"/>
      <c r="H12" s="20"/>
      <c r="I12" s="20"/>
      <c r="J12" s="20"/>
      <c r="K12" s="20"/>
      <c r="L12" s="20"/>
      <c r="M12" s="20"/>
      <c r="N12" s="20"/>
      <c r="O12" s="21"/>
    </row>
    <row r="13" spans="1:15" x14ac:dyDescent="0.3">
      <c r="A13" s="19"/>
      <c r="B13" s="20"/>
      <c r="C13" s="20"/>
      <c r="D13" s="20"/>
      <c r="E13" s="20"/>
      <c r="F13" s="20"/>
      <c r="G13" s="20"/>
      <c r="H13" s="20"/>
      <c r="I13" s="20"/>
      <c r="J13" s="20"/>
      <c r="K13" s="20"/>
      <c r="L13" s="20"/>
      <c r="M13" s="20"/>
      <c r="N13" s="20"/>
      <c r="O13" s="21"/>
    </row>
    <row r="14" spans="1:15" x14ac:dyDescent="0.3">
      <c r="A14" s="19"/>
      <c r="B14" s="20"/>
      <c r="C14" s="20"/>
      <c r="D14" s="20"/>
      <c r="E14" s="20"/>
      <c r="F14" s="20"/>
      <c r="G14" s="20"/>
      <c r="H14" s="20"/>
      <c r="I14" s="20"/>
      <c r="J14" s="20"/>
      <c r="K14" s="20"/>
      <c r="L14" s="20"/>
      <c r="M14" s="20"/>
      <c r="N14" s="20"/>
      <c r="O14" s="21"/>
    </row>
    <row r="15" spans="1:15" x14ac:dyDescent="0.3">
      <c r="A15" s="19"/>
      <c r="B15" s="20"/>
      <c r="C15" s="20"/>
      <c r="D15" s="20"/>
      <c r="E15" s="20"/>
      <c r="F15" s="20"/>
      <c r="G15" s="20"/>
      <c r="H15" s="20"/>
      <c r="I15" s="20"/>
      <c r="J15" s="20"/>
      <c r="K15" s="20"/>
      <c r="L15" s="20"/>
      <c r="M15" s="20"/>
      <c r="N15" s="20"/>
      <c r="O15" s="21"/>
    </row>
    <row r="16" spans="1:15" x14ac:dyDescent="0.3">
      <c r="A16" s="19"/>
      <c r="B16" s="20"/>
      <c r="C16" s="20"/>
      <c r="D16" s="20"/>
      <c r="E16" s="20"/>
      <c r="F16" s="20"/>
      <c r="G16" s="20"/>
      <c r="H16" s="20"/>
      <c r="I16" s="20"/>
      <c r="J16" s="20"/>
      <c r="K16" s="20"/>
      <c r="L16" s="20"/>
      <c r="M16" s="20"/>
      <c r="N16" s="20"/>
      <c r="O16" s="21"/>
    </row>
    <row r="17" spans="1:15" x14ac:dyDescent="0.3">
      <c r="A17" s="19"/>
      <c r="B17" s="20"/>
      <c r="C17" s="20"/>
      <c r="D17" s="20"/>
      <c r="E17" s="20"/>
      <c r="F17" s="20"/>
      <c r="G17" s="20"/>
      <c r="H17" s="20"/>
      <c r="I17" s="20"/>
      <c r="J17" s="20"/>
      <c r="K17" s="20"/>
      <c r="L17" s="20"/>
      <c r="M17" s="20"/>
      <c r="N17" s="20"/>
      <c r="O17" s="21"/>
    </row>
    <row r="18" spans="1:15" x14ac:dyDescent="0.3">
      <c r="A18" s="19"/>
      <c r="B18" s="20"/>
      <c r="C18" s="20"/>
      <c r="D18" s="20"/>
      <c r="E18" s="20"/>
      <c r="F18" s="20"/>
      <c r="G18" s="20"/>
      <c r="H18" s="20"/>
      <c r="I18" s="20"/>
      <c r="J18" s="20"/>
      <c r="K18" s="20"/>
      <c r="L18" s="20"/>
      <c r="M18" s="20"/>
      <c r="N18" s="20"/>
      <c r="O18" s="21"/>
    </row>
    <row r="19" spans="1:15" x14ac:dyDescent="0.3">
      <c r="A19" s="19"/>
      <c r="B19" s="20"/>
      <c r="C19" s="20"/>
      <c r="D19" s="20"/>
      <c r="E19" s="20"/>
      <c r="F19" s="20"/>
      <c r="G19" s="20"/>
      <c r="H19" s="20"/>
      <c r="I19" s="20"/>
      <c r="J19" s="20"/>
      <c r="K19" s="20"/>
      <c r="L19" s="20"/>
      <c r="M19" s="20"/>
      <c r="N19" s="20"/>
      <c r="O19" s="21"/>
    </row>
    <row r="20" spans="1:15" x14ac:dyDescent="0.3">
      <c r="A20" s="19"/>
      <c r="B20" s="20"/>
      <c r="C20" s="20"/>
      <c r="D20" s="20"/>
      <c r="E20" s="20"/>
      <c r="F20" s="20"/>
      <c r="G20" s="20"/>
      <c r="H20" s="20"/>
      <c r="I20" s="20"/>
      <c r="J20" s="20"/>
      <c r="K20" s="20"/>
      <c r="L20" s="20"/>
      <c r="M20" s="20"/>
      <c r="N20" s="20"/>
      <c r="O20" s="21"/>
    </row>
    <row r="21" spans="1:15" x14ac:dyDescent="0.3">
      <c r="A21" s="19"/>
      <c r="B21" s="20"/>
      <c r="C21" s="20"/>
      <c r="D21" s="20"/>
      <c r="E21" s="20"/>
      <c r="F21" s="20"/>
      <c r="G21" s="20"/>
      <c r="H21" s="20"/>
      <c r="I21" s="20"/>
      <c r="J21" s="20"/>
      <c r="K21" s="20"/>
      <c r="L21" s="20"/>
      <c r="M21" s="20"/>
      <c r="N21" s="20"/>
      <c r="O21" s="21"/>
    </row>
    <row r="22" spans="1:15" x14ac:dyDescent="0.3">
      <c r="A22" s="19"/>
      <c r="B22" s="20"/>
      <c r="C22" s="20"/>
      <c r="D22" s="20"/>
      <c r="E22" s="20"/>
      <c r="F22" s="20"/>
      <c r="G22" s="20"/>
      <c r="H22" s="20"/>
      <c r="I22" s="20"/>
      <c r="J22" s="20"/>
      <c r="K22" s="20"/>
      <c r="L22" s="20"/>
      <c r="M22" s="20"/>
      <c r="N22" s="20"/>
      <c r="O22" s="21"/>
    </row>
    <row r="23" spans="1:15" x14ac:dyDescent="0.3">
      <c r="A23" s="19"/>
      <c r="B23" s="20"/>
      <c r="C23" s="20"/>
      <c r="D23" s="20"/>
      <c r="E23" s="20"/>
      <c r="F23" s="20"/>
      <c r="G23" s="20"/>
      <c r="H23" s="20"/>
      <c r="I23" s="20"/>
      <c r="J23" s="20"/>
      <c r="K23" s="20"/>
      <c r="L23" s="20"/>
      <c r="M23" s="20"/>
      <c r="N23" s="20"/>
      <c r="O23" s="21"/>
    </row>
    <row r="24" spans="1:15" x14ac:dyDescent="0.3">
      <c r="A24" s="19"/>
      <c r="B24" s="20"/>
      <c r="C24" s="20"/>
      <c r="D24" s="20"/>
      <c r="E24" s="20"/>
      <c r="F24" s="20"/>
      <c r="G24" s="20"/>
      <c r="H24" s="20"/>
      <c r="I24" s="20"/>
      <c r="J24" s="20"/>
      <c r="K24" s="20"/>
      <c r="L24" s="20"/>
      <c r="M24" s="20"/>
      <c r="N24" s="20"/>
      <c r="O24" s="21"/>
    </row>
    <row r="25" spans="1:15" x14ac:dyDescent="0.3">
      <c r="A25" s="19"/>
      <c r="B25" s="20"/>
      <c r="C25" s="20"/>
      <c r="D25" s="20"/>
      <c r="E25" s="20"/>
      <c r="F25" s="20"/>
      <c r="G25" s="20"/>
      <c r="H25" s="20"/>
      <c r="I25" s="20"/>
      <c r="J25" s="20"/>
      <c r="K25" s="20"/>
      <c r="L25" s="20"/>
      <c r="M25" s="20"/>
      <c r="N25" s="20"/>
      <c r="O25" s="21"/>
    </row>
    <row r="26" spans="1:15" x14ac:dyDescent="0.3">
      <c r="A26" s="19"/>
      <c r="B26" s="20"/>
      <c r="C26" s="20"/>
      <c r="D26" s="20"/>
      <c r="E26" s="20"/>
      <c r="F26" s="20"/>
      <c r="G26" s="20"/>
      <c r="H26" s="20"/>
      <c r="I26" s="20"/>
      <c r="J26" s="20"/>
      <c r="K26" s="20"/>
      <c r="L26" s="20"/>
      <c r="M26" s="20"/>
      <c r="N26" s="20"/>
      <c r="O26" s="21"/>
    </row>
    <row r="27" spans="1:15" x14ac:dyDescent="0.3">
      <c r="A27" s="19"/>
      <c r="B27" s="20"/>
      <c r="C27" s="20"/>
      <c r="D27" s="20"/>
      <c r="E27" s="20"/>
      <c r="F27" s="20"/>
      <c r="G27" s="20"/>
      <c r="H27" s="20"/>
      <c r="I27" s="20"/>
      <c r="J27" s="20"/>
      <c r="K27" s="20"/>
      <c r="L27" s="20"/>
      <c r="M27" s="20"/>
      <c r="N27" s="20"/>
      <c r="O27" s="21"/>
    </row>
    <row r="28" spans="1:15" x14ac:dyDescent="0.3">
      <c r="A28" s="19"/>
      <c r="B28" s="20"/>
      <c r="C28" s="20"/>
      <c r="D28" s="20"/>
      <c r="E28" s="20"/>
      <c r="F28" s="20"/>
      <c r="G28" s="20"/>
      <c r="H28" s="20"/>
      <c r="I28" s="20"/>
      <c r="J28" s="20"/>
      <c r="K28" s="20"/>
      <c r="L28" s="20"/>
      <c r="M28" s="20"/>
      <c r="N28" s="20"/>
      <c r="O28" s="21"/>
    </row>
    <row r="29" spans="1:15" x14ac:dyDescent="0.3">
      <c r="A29" s="19"/>
      <c r="B29" s="20"/>
      <c r="C29" s="20"/>
      <c r="D29" s="20"/>
      <c r="E29" s="20"/>
      <c r="F29" s="20"/>
      <c r="G29" s="20"/>
      <c r="H29" s="20"/>
      <c r="I29" s="20"/>
      <c r="J29" s="20"/>
      <c r="K29" s="20"/>
      <c r="L29" s="20"/>
      <c r="M29" s="20"/>
      <c r="N29" s="20"/>
      <c r="O29" s="21"/>
    </row>
    <row r="30" spans="1:15" x14ac:dyDescent="0.3">
      <c r="A30" s="19"/>
      <c r="B30" s="20"/>
      <c r="C30" s="20"/>
      <c r="D30" s="20"/>
      <c r="E30" s="20"/>
      <c r="F30" s="20"/>
      <c r="G30" s="20"/>
      <c r="H30" s="20"/>
      <c r="I30" s="20"/>
      <c r="J30" s="20"/>
      <c r="K30" s="20"/>
      <c r="L30" s="20"/>
      <c r="M30" s="20"/>
      <c r="N30" s="20"/>
      <c r="O30" s="21"/>
    </row>
    <row r="31" spans="1:15" x14ac:dyDescent="0.3">
      <c r="A31" s="19"/>
      <c r="B31" s="20"/>
      <c r="C31" s="20"/>
      <c r="D31" s="20"/>
      <c r="E31" s="20"/>
      <c r="F31" s="20"/>
      <c r="G31" s="20"/>
      <c r="H31" s="20"/>
      <c r="I31" s="20"/>
      <c r="J31" s="20"/>
      <c r="K31" s="20"/>
      <c r="L31" s="20"/>
      <c r="M31" s="20"/>
      <c r="N31" s="20"/>
      <c r="O31" s="21"/>
    </row>
    <row r="32" spans="1:15" x14ac:dyDescent="0.3">
      <c r="A32" s="19"/>
      <c r="B32" s="20"/>
      <c r="C32" s="20"/>
      <c r="D32" s="20"/>
      <c r="E32" s="20"/>
      <c r="F32" s="20"/>
      <c r="G32" s="20"/>
      <c r="H32" s="20"/>
      <c r="I32" s="20"/>
      <c r="J32" s="20"/>
      <c r="K32" s="20"/>
      <c r="L32" s="20"/>
      <c r="M32" s="20"/>
      <c r="N32" s="20"/>
      <c r="O32" s="21"/>
    </row>
    <row r="33" spans="1:15" x14ac:dyDescent="0.3">
      <c r="A33" s="22"/>
      <c r="B33" s="23"/>
      <c r="C33" s="23"/>
      <c r="D33" s="23"/>
      <c r="E33" s="23"/>
      <c r="F33" s="23"/>
      <c r="G33" s="23"/>
      <c r="H33" s="23"/>
      <c r="I33" s="23"/>
      <c r="J33" s="23"/>
      <c r="K33" s="23"/>
      <c r="L33" s="23"/>
      <c r="M33" s="23"/>
      <c r="N33" s="23"/>
      <c r="O33" s="24"/>
    </row>
  </sheetData>
  <mergeCells count="1">
    <mergeCell ref="A1:O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mayank gariola</dc:creator>
  <cp:lastModifiedBy>mayank gariola</cp:lastModifiedBy>
  <dcterms:created xsi:type="dcterms:W3CDTF">2026-04-02T09:35:44Z</dcterms:created>
  <dcterms:modified xsi:type="dcterms:W3CDTF">2026-04-02T12:34:57Z</dcterms:modified>
</cp:coreProperties>
</file>